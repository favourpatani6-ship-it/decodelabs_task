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NEW USER\"/>
    </mc:Choice>
  </mc:AlternateContent>
  <xr:revisionPtr revIDLastSave="0" documentId="13_ncr:1_{30942CF7-CBE8-4780-8772-F77DB7A3D387}" xr6:coauthVersionLast="47" xr6:coauthVersionMax="47" xr10:uidLastSave="{00000000-0000-0000-0000-000000000000}"/>
  <bookViews>
    <workbookView xWindow="-110" yWindow="-110" windowWidth="19420" windowHeight="10300" xr2:uid="{FE67D6F8-9B62-4908-9842-DF4E10F64D98}"/>
  </bookViews>
  <sheets>
    <sheet name="OVERVIEW" sheetId="2" r:id="rId1"/>
    <sheet name="KPI's" sheetId="6" r:id="rId2"/>
    <sheet name="CALC" sheetId="5" r:id="rId3"/>
  </sheets>
  <definedNames>
    <definedName name="GrossRevenue">CALC!$L$4</definedName>
    <definedName name="LossRate">CALC!$K$16</definedName>
    <definedName name="NetRevenue">CALC!$H$4</definedName>
    <definedName name="NetRevenuePercent">CALC!$I$4</definedName>
    <definedName name="RevenueLost">CALC!$J$4</definedName>
    <definedName name="RevenuePending">CALC!$K$4</definedName>
    <definedName name="Timeline_Date">#N/A</definedName>
    <definedName name="ToatalLostOrders">CALC!$L$16</definedName>
    <definedName name="TotalItemsCheckedOut">CALC!$I$16</definedName>
    <definedName name="TotalItemsInCart">CALC!$H$16</definedName>
    <definedName name="TotalOders">CALC!$J$16</definedName>
  </definedNames>
  <calcPr calcId="191029"/>
  <pivotCaches>
    <pivotCache cacheId="1" r:id="rId4"/>
    <pivotCache cacheId="6" r:id="rId5"/>
    <pivotCache cacheId="190" r:id="rId6"/>
    <pivotCache cacheId="193" r:id="rId7"/>
    <pivotCache cacheId="196" r:id="rId8"/>
    <pivotCache cacheId="199" r:id="rId9"/>
    <pivotCache cacheId="202" r:id="rId10"/>
  </pivotCaches>
  <extLst>
    <ext xmlns:x14="http://schemas.microsoft.com/office/spreadsheetml/2009/9/main" uri="{79F54976-1DA5-4618-B147-4CDE4B953A38}">
      <x14:workbookPr/>
    </ext>
    <ext xmlns:x15="http://schemas.microsoft.com/office/spreadsheetml/2010/11/main" uri="{A2CB5862-8E78-49c6-8D9D-AF26E26ADB89}">
      <x15:timelineCachePivotCaches>
        <pivotCache cacheId="7" r:id="rId11"/>
      </x15:timelineCachePivotCaches>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nalysis-Dataset_a893f9e9-62ab-4af2-b28c-eeaea566a6de" name="Analysis-Dataset" connection="Query - Analysis-Dataset"/>
          <x15:modelTable id="Date-Table_534959c8-3033-436b-99ab-59fecc208bd1" name="Date-Table" connection="Query - Date-Table"/>
        </x15:modelTables>
        <x15:modelRelationships>
          <x15:modelRelationship fromTable="Analysis-Dataset" fromColumn="Date" toTable="Date-Tabl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67231BA-F2FA-4283-B08F-46B4F6F020AD}" name="Query - Analysis-Dataset" description="Connection to the 'Analysis-Dataset' query in the workbook." type="100" refreshedVersion="8" minRefreshableVersion="5">
    <extLst>
      <ext xmlns:x15="http://schemas.microsoft.com/office/spreadsheetml/2010/11/main" uri="{DE250136-89BD-433C-8126-D09CA5730AF9}">
        <x15:connection id="faba5dcc-2831-4237-9cb7-90ee50c48aba"/>
      </ext>
    </extLst>
  </connection>
  <connection id="2" xr16:uid="{8A944180-8AAD-4216-B00E-A78F9BF4A0C7}" name="Query - Date-Table" description="Connection to the 'Date-Table' query in the workbook." type="100" refreshedVersion="8" minRefreshableVersion="5">
    <extLst>
      <ext xmlns:x15="http://schemas.microsoft.com/office/spreadsheetml/2010/11/main" uri="{DE250136-89BD-433C-8126-D09CA5730AF9}">
        <x15:connection id="01a2294c-232c-4d0b-a925-fc6c6d02d96a"/>
      </ext>
    </extLst>
  </connection>
  <connection id="3" xr16:uid="{618B9B98-DDDA-4936-A9BA-B251E30A6EE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<sst xmlns="http://schemas.openxmlformats.org/spreadsheetml/2006/main" count="47" uniqueCount="34">
  <si>
    <t>Gross Revenue</t>
  </si>
  <si>
    <t>Cancelled</t>
  </si>
  <si>
    <t>Delivered</t>
  </si>
  <si>
    <t>Pending</t>
  </si>
  <si>
    <t>Returned</t>
  </si>
  <si>
    <t>Shipped</t>
  </si>
  <si>
    <t>Grand Total</t>
  </si>
  <si>
    <t>Count of OrderID</t>
  </si>
  <si>
    <t>Cash</t>
  </si>
  <si>
    <t>Credit Card</t>
  </si>
  <si>
    <t>Debit Card</t>
  </si>
  <si>
    <t>Gift Card</t>
  </si>
  <si>
    <t>Online</t>
  </si>
  <si>
    <t>Sum of TotalPrice</t>
  </si>
  <si>
    <t>Chair</t>
  </si>
  <si>
    <t>Desk</t>
  </si>
  <si>
    <t>Laptop</t>
  </si>
  <si>
    <t>Monitor</t>
  </si>
  <si>
    <t>Phone</t>
  </si>
  <si>
    <t>Printer</t>
  </si>
  <si>
    <t>Tablet</t>
  </si>
  <si>
    <t>Revenue Pending</t>
  </si>
  <si>
    <t>Revenue Lost</t>
  </si>
  <si>
    <t>Net Revenue</t>
  </si>
  <si>
    <t>Net Revenue % of Gross</t>
  </si>
  <si>
    <t>Month</t>
  </si>
  <si>
    <t>Lost Rate</t>
  </si>
  <si>
    <t>Payment Method</t>
  </si>
  <si>
    <t>Produt</t>
  </si>
  <si>
    <t>Order Status</t>
  </si>
  <si>
    <t>Total Orders</t>
  </si>
  <si>
    <t>Lost Orders</t>
  </si>
  <si>
    <t>Sum of Quantity</t>
  </si>
  <si>
    <t>Sum of ItemsInCart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</si>
</sst>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0_);_(* \(#,##0\);_(* &quot;-&quot;??_);_(@_)"/>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1" fillId="0" borderId="0" xfId="0" applyFont="1"/>
    <xf numFmtId="164" fontId="0" fillId="0" borderId="0" xfId="0" applyNumberFormat="1"/>
    <xf numFmtId="9" fontId="0" fillId="0" borderId="0" xfId="0" applyNumberFormat="1"/>
    <xf numFmtId="0" fontId="0" fillId="0" borderId="0" xfId="0" applyNumberFormat="1"/>
  </cellXfs>
  <cellStyles count="1">
    <cellStyle name="Normal" xfId="0" builtinId="0"/>
  </cellStyles>
  <dxfs count="33">
    <dxf>
      <numFmt numFmtId="13" formatCode="0%"/>
    </dxf>
    <dxf>
      <numFmt numFmtId="164" formatCode="_(* #,##0_);_(* \(#,##0\);_(* &quot;-&quot;??_);_(@_)"/>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64" formatCode="_(* #,##0_);_(* \(#,##0\);_(* &quot;-&quot;??_);_(@_)"/>
    </dxf>
    <dxf>
      <numFmt numFmtId="164" formatCode="_(* #,##0_);_(* \(#,##0\);_(* &quot;-&quot;??_);_(@_)"/>
    </dxf>
    <dxf>
      <numFmt numFmtId="164" formatCode="_(* #,##0_);_(* \(#,##0\);_(* &quot;-&quot;??_);_(@_)"/>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1" defaultTableStyle="TableStyleMedium2" defaultPivotStyle="PivotStyleLight16">
    <tableStyle name="Timeline Style 1" pivot="0" table="0" count="8" xr9:uid="{DCF197B1-5346-497D-8DAB-206F22D7E21F}">
      <tableStyleElement type="wholeTable" dxfId="32"/>
      <tableStyleElement type="headerRow" dxfId="31"/>
    </tableStyle>
  </tableStyle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1.xml"/><Relationship Id="rId26" Type="http://schemas.openxmlformats.org/officeDocument/2006/relationships/customXml" Target="../customXml/item9.xml"/><Relationship Id="rId39" Type="http://schemas.openxmlformats.org/officeDocument/2006/relationships/customXml" Target="../customXml/item22.xml"/><Relationship Id="rId21" Type="http://schemas.openxmlformats.org/officeDocument/2006/relationships/customXml" Target="../customXml/item4.xml"/><Relationship Id="rId34" Type="http://schemas.openxmlformats.org/officeDocument/2006/relationships/customXml" Target="../customXml/item17.xml"/><Relationship Id="rId42" Type="http://schemas.openxmlformats.org/officeDocument/2006/relationships/customXml" Target="../customXml/item25.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29" Type="http://schemas.openxmlformats.org/officeDocument/2006/relationships/customXml" Target="../customXml/item12.xml"/><Relationship Id="rId41" Type="http://schemas.openxmlformats.org/officeDocument/2006/relationships/customXml" Target="../customXml/item24.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40" Type="http://schemas.openxmlformats.org/officeDocument/2006/relationships/customXml" Target="../customXml/item23.xml"/><Relationship Id="rId5" Type="http://schemas.openxmlformats.org/officeDocument/2006/relationships/pivotCacheDefinition" Target="pivotCache/pivotCacheDefinition2.xml"/><Relationship Id="rId15" Type="http://schemas.openxmlformats.org/officeDocument/2006/relationships/styles" Target="style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openxmlformats.org/officeDocument/2006/relationships/pivotCacheDefinition" Target="pivotCache/pivotCacheDefinition7.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connections" Target="connection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microsoft.com/office/2011/relationships/timelineCache" Target="timelineCaches/timelineCache1.xml"/><Relationship Id="rId17" Type="http://schemas.openxmlformats.org/officeDocument/2006/relationships/powerPivotData" Target="model/item.data"/><Relationship Id="rId25" Type="http://schemas.openxmlformats.org/officeDocument/2006/relationships/customXml" Target="../customXml/item8.xml"/><Relationship Id="rId33" Type="http://schemas.openxmlformats.org/officeDocument/2006/relationships/customXml" Target="../customXml/item16.xml"/><Relationship Id="rId38"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[Dashboard.xlsx]CALC!Revenue Trend</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CALC!$C$13</c:f>
              <c:strCache>
                <c:ptCount val="1"/>
                <c:pt idx="0">
                  <c:v>Total</c:v>
                </c:pt>
              </c:strCache>
            </c:strRef>
          </c:tx>
          <c:spPr>
            <a:ln w="28575" cap="rnd">
              <a:solidFill>
                <a:schemeClr val="accent1"/>
              </a:solidFill>
              <a:round/>
            </a:ln>
            <a:effectLst/>
          </c:spPr>
          <c:marker>
            <c:symbol val="none"/>
          </c:marker>
          <c:cat>
            <c:strRef>
              <c:f>CALC!$B$14:$B$26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CALC!$C$14:$C$26</c:f>
              <c:numCache>
                <c:formatCode>General</c:formatCode>
                <c:ptCount val="12"/>
                <c:pt idx="0">
                  <c:v>56685.75</c:v>
                </c:pt>
                <c:pt idx="1">
                  <c:v>40117.660000000003</c:v>
                </c:pt>
                <c:pt idx="2">
                  <c:v>48609.37</c:v>
                </c:pt>
                <c:pt idx="3">
                  <c:v>27751.71</c:v>
                </c:pt>
                <c:pt idx="4">
                  <c:v>63836.84</c:v>
                </c:pt>
                <c:pt idx="5">
                  <c:v>49500.19</c:v>
                </c:pt>
                <c:pt idx="6">
                  <c:v>42820.66</c:v>
                </c:pt>
                <c:pt idx="7">
                  <c:v>54352.14</c:v>
                </c:pt>
                <c:pt idx="8">
                  <c:v>29526.67</c:v>
                </c:pt>
                <c:pt idx="9">
                  <c:v>52607.85</c:v>
                </c:pt>
                <c:pt idx="10">
                  <c:v>43079.67</c:v>
                </c:pt>
                <c:pt idx="11">
                  <c:v>43754.73</c:v>
                </c:pt>
              </c:numCache>
            </c:numRef>
          </c:val>
          <c:smooth val="0"/>
          <c:extLst>
            <c:ext xmlns:c16="http://schemas.microsoft.com/office/drawing/2014/chart" uri="{C3380CC4-5D6E-409C-BE32-E72D297353CC}">
              <c16:uniqueId val="{00000000-1276-4B8B-9A78-9458F7CBE353}"/>
            </c:ext>
          </c:extLst>
        </c:ser>
        <c:dLbls>
          <c:showLegendKey val="0"/>
          <c:showVal val="0"/>
          <c:showCatName val="0"/>
          <c:showSerName val="0"/>
          <c:showPercent val="0"/>
          <c:showBubbleSize val="0"/>
        </c:dLbls>
        <c:smooth val="0"/>
        <c:axId val="976735871"/>
        <c:axId val="856413423"/>
      </c:lineChart>
      <c:catAx>
        <c:axId val="9767358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413423"/>
        <c:crosses val="autoZero"/>
        <c:auto val="1"/>
        <c:lblAlgn val="ctr"/>
        <c:lblOffset val="100"/>
        <c:noMultiLvlLbl val="0"/>
      </c:catAx>
      <c:valAx>
        <c:axId val="85641342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76735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[Dashboard.xlsx]CALC!PivotTable3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47445858457429"/>
          <c:y val="0.11571908221871231"/>
          <c:w val="0.87702571823837105"/>
          <c:h val="0.8019251259574538"/>
        </c:manualLayout>
      </c:layout>
      <c:barChart>
        <c:barDir val="col"/>
        <c:grouping val="clustered"/>
        <c:varyColors val="0"/>
        <c:ser>
          <c:idx val="0"/>
          <c:order val="0"/>
          <c:tx>
            <c:strRef>
              <c:f>CALC!$C$3</c:f>
              <c:strCache>
                <c:ptCount val="1"/>
                <c:pt idx="0">
                  <c:v>Total</c:v>
                </c:pt>
              </c:strCache>
            </c:strRef>
          </c:tx>
          <c:spPr>
            <a:solidFill>
              <a:schemeClr val="accent1"/>
            </a:solidFill>
            <a:ln>
              <a:noFill/>
            </a:ln>
            <a:effectLst/>
          </c:spPr>
          <c:invertIfNegative val="0"/>
          <c:cat>
            <c:strRef>
              <c:f>CALC!$B$4:$B$9</c:f>
              <c:strCache>
                <c:ptCount val="5"/>
                <c:pt idx="0">
                  <c:v>Cancelled</c:v>
                </c:pt>
                <c:pt idx="1">
                  <c:v>Delivered</c:v>
                </c:pt>
                <c:pt idx="2">
                  <c:v>Pending</c:v>
                </c:pt>
                <c:pt idx="3">
                  <c:v>Returned</c:v>
                </c:pt>
                <c:pt idx="4">
                  <c:v>Shipped</c:v>
                </c:pt>
              </c:strCache>
            </c:strRef>
          </c:cat>
          <c:val>
            <c:numRef>
              <c:f>CALC!$C$4:$C$9</c:f>
              <c:numCache>
                <c:formatCode>General</c:formatCode>
                <c:ptCount val="5"/>
                <c:pt idx="0">
                  <c:v>107</c:v>
                </c:pt>
                <c:pt idx="1">
                  <c:v>89</c:v>
                </c:pt>
                <c:pt idx="2">
                  <c:v>117</c:v>
                </c:pt>
                <c:pt idx="3">
                  <c:v>102</c:v>
                </c:pt>
                <c:pt idx="4">
                  <c:v>95</c:v>
                </c:pt>
              </c:numCache>
            </c:numRef>
          </c:val>
          <c:extLst>
            <c:ext xmlns:c16="http://schemas.microsoft.com/office/drawing/2014/chart" uri="{C3380CC4-5D6E-409C-BE32-E72D297353CC}">
              <c16:uniqueId val="{00000000-91B5-4D11-85E4-C34328C12EB1}"/>
            </c:ext>
          </c:extLst>
        </c:ser>
        <c:dLbls>
          <c:showLegendKey val="0"/>
          <c:showVal val="0"/>
          <c:showCatName val="0"/>
          <c:showSerName val="0"/>
          <c:showPercent val="0"/>
          <c:showBubbleSize val="0"/>
        </c:dLbls>
        <c:gapWidth val="219"/>
        <c:overlap val="-27"/>
        <c:axId val="205535791"/>
        <c:axId val="332815312"/>
      </c:barChart>
      <c:catAx>
        <c:axId val="2055357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815312"/>
        <c:crosses val="autoZero"/>
        <c:auto val="1"/>
        <c:lblAlgn val="ctr"/>
        <c:lblOffset val="100"/>
        <c:noMultiLvlLbl val="0"/>
      </c:catAx>
      <c:valAx>
        <c:axId val="33281531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535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[Dashboard.xlsx]CALC!PivotTable4</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14516528937751227"/>
          <c:y val="0.11750446424440929"/>
          <c:w val="0.41580948064949441"/>
          <c:h val="0.84793539921311745"/>
        </c:manualLayout>
      </c:layout>
      <c:doughnutChart>
        <c:varyColors val="1"/>
        <c:ser>
          <c:idx val="0"/>
          <c:order val="0"/>
          <c:tx>
            <c:strRef>
              <c:f>CALC!$F$3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253-48A9-B405-991C06DB55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253-48A9-B405-991C06DB555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253-48A9-B405-991C06DB555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253-48A9-B405-991C06DB555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253-48A9-B405-991C06DB555D}"/>
              </c:ext>
            </c:extLst>
          </c:dPt>
          <c:cat>
            <c:strRef>
              <c:f>CALC!$E$4:$E$9</c:f>
              <c:strCache>
                <c:ptCount val="5"/>
                <c:pt idx="0">
                  <c:v>Cash</c:v>
                </c:pt>
                <c:pt idx="1">
                  <c:v>Credit Card</c:v>
                </c:pt>
                <c:pt idx="2">
                  <c:v>Debit Card</c:v>
                </c:pt>
                <c:pt idx="3">
                  <c:v>Gift Card</c:v>
                </c:pt>
                <c:pt idx="4">
                  <c:v>Online</c:v>
                </c:pt>
              </c:strCache>
            </c:strRef>
          </c:cat>
          <c:val>
            <c:numRef>
              <c:f>CALC!$F$4:$F$9</c:f>
              <c:numCache>
                <c:formatCode>General</c:formatCode>
                <c:ptCount val="5"/>
                <c:pt idx="0">
                  <c:v>137023.18</c:v>
                </c:pt>
                <c:pt idx="1">
                  <c:v>113622.95</c:v>
                </c:pt>
                <c:pt idx="2">
                  <c:v>100083.35</c:v>
                </c:pt>
                <c:pt idx="3">
                  <c:v>106055</c:v>
                </c:pt>
                <c:pt idx="4">
                  <c:v>95858.76</c:v>
                </c:pt>
              </c:numCache>
            </c:numRef>
          </c:val>
          <c:extLst>
            <c:ext xmlns:c16="http://schemas.microsoft.com/office/drawing/2014/chart" uri="{C3380CC4-5D6E-409C-BE32-E72D297353CC}">
              <c16:uniqueId val="{0000000A-6253-48A9-B405-991C06DB555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3598080542962432"/>
          <c:y val="0.13834810858432908"/>
          <c:w val="0.32361515416633529"/>
          <c:h val="0.5439463685920379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[Dashboard.xlsx]CALC!PivotTable6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29494224421228"/>
          <c:y val="3.7951510204466798E-2"/>
          <c:w val="0.76146010976024503"/>
          <c:h val="0.85347979805358387"/>
        </c:manualLayout>
      </c:layout>
      <c:barChart>
        <c:barDir val="bar"/>
        <c:grouping val="clustered"/>
        <c:varyColors val="0"/>
        <c:ser>
          <c:idx val="0"/>
          <c:order val="0"/>
          <c:tx>
            <c:strRef>
              <c:f>CALC!$F$13</c:f>
              <c:strCache>
                <c:ptCount val="1"/>
                <c:pt idx="0">
                  <c:v>Total</c:v>
                </c:pt>
              </c:strCache>
            </c:strRef>
          </c:tx>
          <c:spPr>
            <a:solidFill>
              <a:schemeClr val="accent1"/>
            </a:solidFill>
            <a:ln>
              <a:noFill/>
            </a:ln>
            <a:effectLst/>
          </c:spPr>
          <c:invertIfNegative val="0"/>
          <c:cat>
            <c:strRef>
              <c:f>CALC!$E$14:$E$21</c:f>
              <c:strCache>
                <c:ptCount val="7"/>
                <c:pt idx="0">
                  <c:v>Chair</c:v>
                </c:pt>
                <c:pt idx="1">
                  <c:v>Desk</c:v>
                </c:pt>
                <c:pt idx="2">
                  <c:v>Laptop</c:v>
                </c:pt>
                <c:pt idx="3">
                  <c:v>Monitor</c:v>
                </c:pt>
                <c:pt idx="4">
                  <c:v>Phone</c:v>
                </c:pt>
                <c:pt idx="5">
                  <c:v>Printer</c:v>
                </c:pt>
                <c:pt idx="6">
                  <c:v>Tablet</c:v>
                </c:pt>
              </c:strCache>
            </c:strRef>
          </c:cat>
          <c:val>
            <c:numRef>
              <c:f>CALC!$F$14:$F$21</c:f>
              <c:numCache>
                <c:formatCode>General</c:formatCode>
                <c:ptCount val="7"/>
                <c:pt idx="0">
                  <c:v>87585.58</c:v>
                </c:pt>
                <c:pt idx="1">
                  <c:v>60990.53</c:v>
                </c:pt>
                <c:pt idx="2">
                  <c:v>83231.66</c:v>
                </c:pt>
                <c:pt idx="3">
                  <c:v>75876.42</c:v>
                </c:pt>
                <c:pt idx="4">
                  <c:v>62766.400000000001</c:v>
                </c:pt>
                <c:pt idx="5">
                  <c:v>95513.73</c:v>
                </c:pt>
                <c:pt idx="6">
                  <c:v>86678.92</c:v>
                </c:pt>
              </c:numCache>
            </c:numRef>
          </c:val>
          <c:extLst>
            <c:ext xmlns:c16="http://schemas.microsoft.com/office/drawing/2014/chart" uri="{C3380CC4-5D6E-409C-BE32-E72D297353CC}">
              <c16:uniqueId val="{00000000-81A7-4477-B480-CFA1C1394355}"/>
            </c:ext>
          </c:extLst>
        </c:ser>
        <c:dLbls>
          <c:showLegendKey val="0"/>
          <c:showVal val="0"/>
          <c:showCatName val="0"/>
          <c:showSerName val="0"/>
          <c:showPercent val="0"/>
          <c:showBubbleSize val="0"/>
        </c:dLbls>
        <c:gapWidth val="182"/>
        <c:axId val="976749791"/>
        <c:axId val="332776432"/>
      </c:barChart>
      <c:catAx>
        <c:axId val="97674979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32776432"/>
        <c:crosses val="autoZero"/>
        <c:auto val="1"/>
        <c:lblAlgn val="ctr"/>
        <c:lblOffset val="100"/>
        <c:noMultiLvlLbl val="0"/>
      </c:catAx>
      <c:valAx>
        <c:axId val="33277643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749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[Dashboard.xlsx]CALC!PivotTable8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247305251892057"/>
          <c:y val="7.4450124278947621E-2"/>
          <c:w val="0.69158549301802874"/>
          <c:h val="0.76908097530195729"/>
        </c:manualLayout>
      </c:layout>
      <c:barChart>
        <c:barDir val="bar"/>
        <c:grouping val="clustered"/>
        <c:varyColors val="0"/>
        <c:ser>
          <c:idx val="0"/>
          <c:order val="0"/>
          <c:tx>
            <c:strRef>
              <c:f>CALC!$I$6</c:f>
              <c:strCache>
                <c:ptCount val="1"/>
                <c:pt idx="0">
                  <c:v>Total</c:v>
                </c:pt>
              </c:strCache>
            </c:strRef>
          </c:tx>
          <c:spPr>
            <a:solidFill>
              <a:schemeClr val="accent1"/>
            </a:solidFill>
            <a:ln>
              <a:noFill/>
            </a:ln>
            <a:effectLst/>
          </c:spPr>
          <c:invertIfNegative val="0"/>
          <c:cat>
            <c:strRef>
              <c:f>CALC!$H$7:$H$12</c:f>
              <c:strCache>
                <c:ptCount val="5"/>
                <c:pt idx="0">
                  <c:v>Cash</c:v>
                </c:pt>
                <c:pt idx="1">
                  <c:v>Credit Card</c:v>
                </c:pt>
                <c:pt idx="2">
                  <c:v>Debit Card</c:v>
                </c:pt>
                <c:pt idx="3">
                  <c:v>Gift Card</c:v>
                </c:pt>
                <c:pt idx="4">
                  <c:v>Online</c:v>
                </c:pt>
              </c:strCache>
            </c:strRef>
          </c:cat>
          <c:val>
            <c:numRef>
              <c:f>CALC!$I$7:$I$12</c:f>
              <c:numCache>
                <c:formatCode>General</c:formatCode>
                <c:ptCount val="5"/>
                <c:pt idx="0">
                  <c:v>0.43089430894308944</c:v>
                </c:pt>
                <c:pt idx="1">
                  <c:v>0.44017094017094016</c:v>
                </c:pt>
                <c:pt idx="2">
                  <c:v>0.40948275862068967</c:v>
                </c:pt>
                <c:pt idx="3">
                  <c:v>0.44347826086956521</c:v>
                </c:pt>
                <c:pt idx="4">
                  <c:v>0.35271317829457366</c:v>
                </c:pt>
              </c:numCache>
            </c:numRef>
          </c:val>
          <c:extLst>
            <c:ext xmlns:c16="http://schemas.microsoft.com/office/drawing/2014/chart" uri="{C3380CC4-5D6E-409C-BE32-E72D297353CC}">
              <c16:uniqueId val="{00000000-18C1-429B-B688-48BE451965A6}"/>
            </c:ext>
          </c:extLst>
        </c:ser>
        <c:dLbls>
          <c:showLegendKey val="0"/>
          <c:showVal val="0"/>
          <c:showCatName val="0"/>
          <c:showSerName val="0"/>
          <c:showPercent val="0"/>
          <c:showBubbleSize val="0"/>
        </c:dLbls>
        <c:gapWidth val="182"/>
        <c:axId val="205643439"/>
        <c:axId val="332782672"/>
      </c:barChart>
      <c:catAx>
        <c:axId val="205643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32782672"/>
        <c:crosses val="autoZero"/>
        <c:auto val="1"/>
        <c:lblAlgn val="ctr"/>
        <c:lblOffset val="100"/>
        <c:noMultiLvlLbl val="0"/>
      </c:catAx>
      <c:valAx>
        <c:axId val="3327826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643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hyperlink" Target="#Sheet5!A1"/><Relationship Id="rId1" Type="http://schemas.openxmlformats.org/officeDocument/2006/relationships/hyperlink" Target="#Dashboard!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419879</xdr:colOff>
      <xdr:row>1</xdr:row>
      <xdr:rowOff>157158</xdr:rowOff>
    </xdr:from>
    <xdr:to>
      <xdr:col>29</xdr:col>
      <xdr:colOff>116632</xdr:colOff>
      <xdr:row>44</xdr:row>
      <xdr:rowOff>157158</xdr:rowOff>
    </xdr:to>
    <xdr:grpSp>
      <xdr:nvGrpSpPr>
        <xdr:cNvPr id="2" name="Group 1">
          <a:extLst>
            <a:ext uri="{FF2B5EF4-FFF2-40B4-BE49-F238E27FC236}">
              <a16:creationId xmlns:a16="http://schemas.microsoft.com/office/drawing/2014/main" id="{DDF94760-9128-2CA3-5B6D-AD6FD1D8D227}"/>
            </a:ext>
          </a:extLst>
        </xdr:cNvPr>
        <xdr:cNvGrpSpPr/>
      </xdr:nvGrpSpPr>
      <xdr:grpSpPr>
        <a:xfrm>
          <a:off x="1638042" y="338587"/>
          <a:ext cx="16141957" cy="7801428"/>
          <a:chOff x="-501765" y="40883"/>
          <a:chExt cx="15146815" cy="7032171"/>
        </a:xfrm>
      </xdr:grpSpPr>
      <xdr:sp macro="" textlink="">
        <xdr:nvSpPr>
          <xdr:cNvPr id="3" name="Rectangle 2">
            <a:extLst>
              <a:ext uri="{FF2B5EF4-FFF2-40B4-BE49-F238E27FC236}">
                <a16:creationId xmlns:a16="http://schemas.microsoft.com/office/drawing/2014/main" id="{E859B901-17F1-EA1A-4F98-DD881076D374}"/>
              </a:ext>
            </a:extLst>
          </xdr:cNvPr>
          <xdr:cNvSpPr/>
        </xdr:nvSpPr>
        <xdr:spPr>
          <a:xfrm>
            <a:off x="-501765" y="40883"/>
            <a:ext cx="14374427" cy="7032171"/>
          </a:xfrm>
          <a:prstGeom prst="rect">
            <a:avLst/>
          </a:prstGeom>
          <a:solidFill>
            <a:srgbClr val="F1F6FF"/>
          </a:solidFill>
          <a:ln>
            <a:no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a:p>
        </xdr:txBody>
      </xdr:sp>
      <xdr:sp macro="" textlink="">
        <xdr:nvSpPr>
          <xdr:cNvPr id="4" name="Rounded Rectangle 2">
            <a:extLst>
              <a:ext uri="{FF2B5EF4-FFF2-40B4-BE49-F238E27FC236}">
                <a16:creationId xmlns:a16="http://schemas.microsoft.com/office/drawing/2014/main" id="{C7398074-6201-762E-C471-9BB034553D30}"/>
              </a:ext>
            </a:extLst>
          </xdr:cNvPr>
          <xdr:cNvSpPr/>
        </xdr:nvSpPr>
        <xdr:spPr>
          <a:xfrm>
            <a:off x="-360815" y="228600"/>
            <a:ext cx="1508760" cy="6400800"/>
          </a:xfrm>
          <a:prstGeom prst="roundRect">
            <a:avLst>
              <a:gd name="adj" fmla="val 8000"/>
            </a:avLst>
          </a:prstGeom>
          <a:solidFill>
            <a:srgbClr val="FFFFFF"/>
          </a:solidFill>
          <a:ln>
            <a:solidFill>
              <a:srgbClr val="FFFFFF"/>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a:p>
        </xdr:txBody>
      </xdr:sp>
      <xdr:sp macro="" textlink="">
        <xdr:nvSpPr>
          <xdr:cNvPr id="5" name="Rounded Rectangle 6">
            <a:hlinkClick xmlns:r="http://schemas.openxmlformats.org/officeDocument/2006/relationships" r:id="rId1"/>
            <a:extLst>
              <a:ext uri="{FF2B5EF4-FFF2-40B4-BE49-F238E27FC236}">
                <a16:creationId xmlns:a16="http://schemas.microsoft.com/office/drawing/2014/main" id="{432A875D-0908-D4AB-E3C3-E412CC836700}"/>
              </a:ext>
            </a:extLst>
          </xdr:cNvPr>
          <xdr:cNvSpPr/>
        </xdr:nvSpPr>
        <xdr:spPr>
          <a:xfrm>
            <a:off x="-223655" y="1591056"/>
            <a:ext cx="1234440" cy="365760"/>
          </a:xfrm>
          <a:prstGeom prst="roundRect">
            <a:avLst>
              <a:gd name="adj" fmla="val 8000"/>
            </a:avLst>
          </a:prstGeom>
          <a:solidFill>
            <a:srgbClr val="E2EDFF"/>
          </a:solidFill>
          <a:ln>
            <a:solidFill>
              <a:srgbClr val="E2EDFF"/>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US" b="0">
                <a:solidFill>
                  <a:schemeClr val="bg2">
                    <a:lumMod val="25000"/>
                  </a:schemeClr>
                </a:solidFill>
              </a:rPr>
              <a:t>OVERVIEW</a:t>
            </a:r>
            <a:endParaRPr b="0">
              <a:solidFill>
                <a:schemeClr val="bg2">
                  <a:lumMod val="25000"/>
                </a:schemeClr>
              </a:solidFill>
            </a:endParaRPr>
          </a:p>
        </xdr:txBody>
      </xdr:sp>
      <xdr:sp macro="" textlink="">
        <xdr:nvSpPr>
          <xdr:cNvPr id="6" name="Rounded Rectangle 18">
            <a:extLst>
              <a:ext uri="{FF2B5EF4-FFF2-40B4-BE49-F238E27FC236}">
                <a16:creationId xmlns:a16="http://schemas.microsoft.com/office/drawing/2014/main" id="{DADAA17B-10C9-DB7A-0EF9-6FE0F02AEB8C}"/>
              </a:ext>
            </a:extLst>
          </xdr:cNvPr>
          <xdr:cNvSpPr/>
        </xdr:nvSpPr>
        <xdr:spPr>
          <a:xfrm>
            <a:off x="1710636" y="141514"/>
            <a:ext cx="12032623" cy="791174"/>
          </a:xfrm>
          <a:prstGeom prst="roundRect">
            <a:avLst>
              <a:gd name="adj" fmla="val 8000"/>
            </a:avLst>
          </a:prstGeom>
          <a:solidFill>
            <a:srgbClr val="FFFFFF"/>
          </a:solidFill>
          <a:ln>
            <a:solidFill>
              <a:srgbClr val="FFFFFF"/>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a:p>
        </xdr:txBody>
      </xdr:sp>
      <xdr:sp macro="" textlink="">
        <xdr:nvSpPr>
          <xdr:cNvPr id="7" name="Rounded Rectangle 20">
            <a:extLst>
              <a:ext uri="{FF2B5EF4-FFF2-40B4-BE49-F238E27FC236}">
                <a16:creationId xmlns:a16="http://schemas.microsoft.com/office/drawing/2014/main" id="{2265292E-A79C-4396-8AF8-348D553C1B3B}"/>
              </a:ext>
            </a:extLst>
          </xdr:cNvPr>
          <xdr:cNvSpPr/>
        </xdr:nvSpPr>
        <xdr:spPr>
          <a:xfrm>
            <a:off x="11079730" y="153319"/>
            <a:ext cx="2156703" cy="776809"/>
          </a:xfrm>
          <a:prstGeom prst="roundRect">
            <a:avLst>
              <a:gd name="adj" fmla="val 8000"/>
            </a:avLst>
          </a:prstGeom>
          <a:solidFill>
            <a:srgbClr val="E2EDFF"/>
          </a:solidFill>
          <a:ln>
            <a:solidFill>
              <a:srgbClr val="E2EDFF"/>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a:p>
        </xdr:txBody>
      </xdr:sp>
      <xdr:sp macro="" textlink="">
        <xdr:nvSpPr>
          <xdr:cNvPr id="8" name="Rounded Rectangle 23">
            <a:extLst>
              <a:ext uri="{FF2B5EF4-FFF2-40B4-BE49-F238E27FC236}">
                <a16:creationId xmlns:a16="http://schemas.microsoft.com/office/drawing/2014/main" id="{DD26E25F-028B-A001-3E57-72C8CA9E5B2F}"/>
              </a:ext>
            </a:extLst>
          </xdr:cNvPr>
          <xdr:cNvSpPr/>
        </xdr:nvSpPr>
        <xdr:spPr>
          <a:xfrm>
            <a:off x="1710638" y="1056970"/>
            <a:ext cx="8161339" cy="835838"/>
          </a:xfrm>
          <a:prstGeom prst="roundRect">
            <a:avLst>
              <a:gd name="adj" fmla="val 8000"/>
            </a:avLst>
          </a:prstGeom>
          <a:solidFill>
            <a:srgbClr val="E2EDFF"/>
          </a:solidFill>
          <a:ln>
            <a:solidFill>
              <a:srgbClr val="E2EDFF"/>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US" sz="4400" b="1">
                <a:solidFill>
                  <a:schemeClr val="bg2">
                    <a:lumMod val="90000"/>
                  </a:schemeClr>
                </a:solidFill>
              </a:rPr>
              <a:t>ANALYSIS OVERVIEW</a:t>
            </a:r>
            <a:endParaRPr sz="4400" b="1">
              <a:solidFill>
                <a:schemeClr val="bg2">
                  <a:lumMod val="90000"/>
                </a:schemeClr>
              </a:solidFill>
            </a:endParaRPr>
          </a:p>
        </xdr:txBody>
      </xdr:sp>
      <xdr:sp macro="" textlink="GrossRevenue">
        <xdr:nvSpPr>
          <xdr:cNvPr id="9" name="Rounded Rectangle 26">
            <a:extLst>
              <a:ext uri="{FF2B5EF4-FFF2-40B4-BE49-F238E27FC236}">
                <a16:creationId xmlns:a16="http://schemas.microsoft.com/office/drawing/2014/main" id="{27CFFD2B-64A0-AD19-311E-EB2C45B8F3E4}"/>
              </a:ext>
            </a:extLst>
          </xdr:cNvPr>
          <xdr:cNvSpPr/>
        </xdr:nvSpPr>
        <xdr:spPr>
          <a:xfrm>
            <a:off x="10017567" y="1036048"/>
            <a:ext cx="1870165" cy="772272"/>
          </a:xfrm>
          <a:prstGeom prst="roundRect">
            <a:avLst>
              <a:gd name="adj" fmla="val 8000"/>
            </a:avLst>
          </a:prstGeom>
          <a:solidFill>
            <a:srgbClr val="FFFFFF"/>
          </a:solidFill>
          <a:ln>
            <a:solidFill>
              <a:srgbClr val="FFFFFF"/>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fld id="{62A0DED4-BD02-47E3-BA57-DBA65C2E0FA3}" type="TxLink">
              <a:rPr lang="en-US" sz="2400" b="1" i="0" u="none" strike="noStrike">
                <a:solidFill>
                  <a:srgbClr val="000000"/>
                </a:solidFill>
                <a:latin typeface="Aptos Narrow"/>
              </a:rPr>
              <a:pPr algn="ctr"/>
              <a:t> 552,643 </a:t>
            </a:fld>
            <a:endParaRPr sz="2400" b="1"/>
          </a:p>
        </xdr:txBody>
      </xdr:sp>
      <xdr:sp macro="" textlink="NetRevenue">
        <xdr:nvSpPr>
          <xdr:cNvPr id="10" name="Rounded Rectangle 29">
            <a:extLst>
              <a:ext uri="{FF2B5EF4-FFF2-40B4-BE49-F238E27FC236}">
                <a16:creationId xmlns:a16="http://schemas.microsoft.com/office/drawing/2014/main" id="{2A627B3B-BBF7-5D3D-8D3A-AFBB7F93207C}"/>
              </a:ext>
            </a:extLst>
          </xdr:cNvPr>
          <xdr:cNvSpPr/>
        </xdr:nvSpPr>
        <xdr:spPr>
          <a:xfrm>
            <a:off x="11987369" y="1013857"/>
            <a:ext cx="1802596" cy="749199"/>
          </a:xfrm>
          <a:prstGeom prst="roundRect">
            <a:avLst>
              <a:gd name="adj" fmla="val 8000"/>
            </a:avLst>
          </a:prstGeom>
          <a:solidFill>
            <a:srgbClr val="FFFFFF"/>
          </a:solidFill>
          <a:ln>
            <a:solidFill>
              <a:srgbClr val="FFFFFF"/>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fld id="{4C68F18F-FB29-40B7-88B4-12D8CEB688FF}" type="TxLink">
              <a:rPr lang="en-US" sz="2400" b="1" i="0" u="none" strike="noStrike">
                <a:solidFill>
                  <a:srgbClr val="92D050"/>
                </a:solidFill>
                <a:latin typeface="Aptos Narrow"/>
              </a:rPr>
              <a:pPr algn="ctr"/>
              <a:t> 330,548 </a:t>
            </a:fld>
            <a:endParaRPr sz="2400" b="1">
              <a:solidFill>
                <a:srgbClr val="92D050"/>
              </a:solidFill>
            </a:endParaRPr>
          </a:p>
        </xdr:txBody>
      </xdr:sp>
      <xdr:sp macro="" textlink="RevenueLost">
        <xdr:nvSpPr>
          <xdr:cNvPr id="11" name="Rounded Rectangle 32">
            <a:extLst>
              <a:ext uri="{FF2B5EF4-FFF2-40B4-BE49-F238E27FC236}">
                <a16:creationId xmlns:a16="http://schemas.microsoft.com/office/drawing/2014/main" id="{0FA81FF4-1096-0DCD-7E83-0F2002A81FA6}"/>
              </a:ext>
            </a:extLst>
          </xdr:cNvPr>
          <xdr:cNvSpPr/>
        </xdr:nvSpPr>
        <xdr:spPr>
          <a:xfrm>
            <a:off x="9993147" y="1888284"/>
            <a:ext cx="1881051" cy="675787"/>
          </a:xfrm>
          <a:prstGeom prst="roundRect">
            <a:avLst>
              <a:gd name="adj" fmla="val 8000"/>
            </a:avLst>
          </a:prstGeom>
          <a:solidFill>
            <a:srgbClr val="FFFFFF"/>
          </a:solidFill>
          <a:ln>
            <a:solidFill>
              <a:srgbClr val="FFFFFF"/>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fld id="{34397CC5-65FD-4D0B-A3D3-790C75EB18A0}" type="TxLink">
              <a:rPr lang="en-US" sz="2400" b="1" i="0" u="none" strike="noStrike">
                <a:solidFill>
                  <a:srgbClr val="C00000"/>
                </a:solidFill>
                <a:latin typeface="Aptos Narrow"/>
              </a:rPr>
              <a:pPr algn="ctr"/>
              <a:t> 222,096 </a:t>
            </a:fld>
            <a:endParaRPr sz="2400" b="1">
              <a:solidFill>
                <a:srgbClr val="C00000"/>
              </a:solidFill>
            </a:endParaRPr>
          </a:p>
        </xdr:txBody>
      </xdr:sp>
      <xdr:sp macro="" textlink="RevenuePending">
        <xdr:nvSpPr>
          <xdr:cNvPr id="12" name="Rounded Rectangle 35">
            <a:extLst>
              <a:ext uri="{FF2B5EF4-FFF2-40B4-BE49-F238E27FC236}">
                <a16:creationId xmlns:a16="http://schemas.microsoft.com/office/drawing/2014/main" id="{F3B160C6-57C7-8B7B-2DA2-9FEDCD20F8CE}"/>
              </a:ext>
            </a:extLst>
          </xdr:cNvPr>
          <xdr:cNvSpPr/>
        </xdr:nvSpPr>
        <xdr:spPr>
          <a:xfrm>
            <a:off x="11998155" y="1878519"/>
            <a:ext cx="1802596" cy="675788"/>
          </a:xfrm>
          <a:prstGeom prst="roundRect">
            <a:avLst>
              <a:gd name="adj" fmla="val 8000"/>
            </a:avLst>
          </a:prstGeom>
          <a:solidFill>
            <a:srgbClr val="FFFFFF"/>
          </a:solidFill>
          <a:ln>
            <a:solidFill>
              <a:srgbClr val="FFFFFF"/>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fld id="{133888B8-1C19-426A-A714-48F539F0CC14}" type="TxLink">
              <a:rPr lang="en-US" sz="2400" b="1" i="0" u="none" strike="noStrike">
                <a:solidFill>
                  <a:srgbClr val="000000"/>
                </a:solidFill>
                <a:latin typeface="Aptos Narrow"/>
              </a:rPr>
              <a:pPr algn="ctr"/>
              <a:t> 114,869 </a:t>
            </a:fld>
            <a:endParaRPr sz="2400" b="1"/>
          </a:p>
        </xdr:txBody>
      </xdr:sp>
      <xdr:sp macro="" textlink="">
        <xdr:nvSpPr>
          <xdr:cNvPr id="13" name="Rounded Rectangle 38">
            <a:extLst>
              <a:ext uri="{FF2B5EF4-FFF2-40B4-BE49-F238E27FC236}">
                <a16:creationId xmlns:a16="http://schemas.microsoft.com/office/drawing/2014/main" id="{A08A36D5-BAE0-86E2-AB8D-E2B79920B92D}"/>
              </a:ext>
            </a:extLst>
          </xdr:cNvPr>
          <xdr:cNvSpPr/>
        </xdr:nvSpPr>
        <xdr:spPr>
          <a:xfrm>
            <a:off x="1710638" y="2013572"/>
            <a:ext cx="5074920" cy="2676120"/>
          </a:xfrm>
          <a:prstGeom prst="roundRect">
            <a:avLst>
              <a:gd name="adj" fmla="val 8000"/>
            </a:avLst>
          </a:prstGeom>
          <a:solidFill>
            <a:srgbClr val="F8FBFF"/>
          </a:solidFill>
          <a:ln>
            <a:solidFill>
              <a:srgbClr val="CADCFA"/>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US"/>
              <a:t>                   </a:t>
            </a:r>
            <a:endParaRPr/>
          </a:p>
        </xdr:txBody>
      </xdr:sp>
      <xdr:sp macro="" textlink="">
        <xdr:nvSpPr>
          <xdr:cNvPr id="14" name="Rounded Rectangle 42">
            <a:extLst>
              <a:ext uri="{FF2B5EF4-FFF2-40B4-BE49-F238E27FC236}">
                <a16:creationId xmlns:a16="http://schemas.microsoft.com/office/drawing/2014/main" id="{A107774D-A108-65A4-6A5F-6858EA2A1C4D}"/>
              </a:ext>
            </a:extLst>
          </xdr:cNvPr>
          <xdr:cNvSpPr/>
        </xdr:nvSpPr>
        <xdr:spPr>
          <a:xfrm>
            <a:off x="6921750" y="2020873"/>
            <a:ext cx="2962656" cy="2609627"/>
          </a:xfrm>
          <a:prstGeom prst="roundRect">
            <a:avLst>
              <a:gd name="adj" fmla="val 8000"/>
            </a:avLst>
          </a:prstGeom>
          <a:solidFill>
            <a:srgbClr val="F8FBFF"/>
          </a:solidFill>
          <a:ln>
            <a:solidFill>
              <a:srgbClr val="CADCFA"/>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a:p>
        </xdr:txBody>
      </xdr:sp>
      <xdr:sp macro="" textlink="">
        <xdr:nvSpPr>
          <xdr:cNvPr id="15" name="Rounded Rectangle 46">
            <a:extLst>
              <a:ext uri="{FF2B5EF4-FFF2-40B4-BE49-F238E27FC236}">
                <a16:creationId xmlns:a16="http://schemas.microsoft.com/office/drawing/2014/main" id="{0B0F6CCD-8960-D07F-EECC-89BA091536F3}"/>
              </a:ext>
            </a:extLst>
          </xdr:cNvPr>
          <xdr:cNvSpPr/>
        </xdr:nvSpPr>
        <xdr:spPr>
          <a:xfrm>
            <a:off x="10075256" y="2629175"/>
            <a:ext cx="4496833" cy="2148840"/>
          </a:xfrm>
          <a:prstGeom prst="roundRect">
            <a:avLst>
              <a:gd name="adj" fmla="val 8000"/>
            </a:avLst>
          </a:prstGeom>
          <a:solidFill>
            <a:srgbClr val="F8FBFF"/>
          </a:solidFill>
          <a:ln>
            <a:solidFill>
              <a:srgbClr val="CADCFA"/>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a:p>
        </xdr:txBody>
      </xdr:sp>
      <xdr:sp macro="" textlink="">
        <xdr:nvSpPr>
          <xdr:cNvPr id="16" name="Rounded Rectangle 50">
            <a:extLst>
              <a:ext uri="{FF2B5EF4-FFF2-40B4-BE49-F238E27FC236}">
                <a16:creationId xmlns:a16="http://schemas.microsoft.com/office/drawing/2014/main" id="{EB84A15C-D5D5-7231-6066-454B9C42ED56}"/>
              </a:ext>
            </a:extLst>
          </xdr:cNvPr>
          <xdr:cNvSpPr/>
        </xdr:nvSpPr>
        <xdr:spPr>
          <a:xfrm>
            <a:off x="1665867" y="4833158"/>
            <a:ext cx="4040688" cy="2156521"/>
          </a:xfrm>
          <a:prstGeom prst="roundRect">
            <a:avLst>
              <a:gd name="adj" fmla="val 8000"/>
            </a:avLst>
          </a:prstGeom>
          <a:solidFill>
            <a:srgbClr val="F8FBFF"/>
          </a:solidFill>
          <a:ln>
            <a:solidFill>
              <a:srgbClr val="CADCFA"/>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a:p>
        </xdr:txBody>
      </xdr:sp>
      <xdr:sp macro="" textlink="">
        <xdr:nvSpPr>
          <xdr:cNvPr id="17" name="Rounded Rectangle 54">
            <a:extLst>
              <a:ext uri="{FF2B5EF4-FFF2-40B4-BE49-F238E27FC236}">
                <a16:creationId xmlns:a16="http://schemas.microsoft.com/office/drawing/2014/main" id="{2722801D-9E7C-9A4F-FACA-18E09D19BF1C}"/>
              </a:ext>
            </a:extLst>
          </xdr:cNvPr>
          <xdr:cNvSpPr/>
        </xdr:nvSpPr>
        <xdr:spPr>
          <a:xfrm>
            <a:off x="5953431" y="4868727"/>
            <a:ext cx="4097733" cy="2075688"/>
          </a:xfrm>
          <a:prstGeom prst="roundRect">
            <a:avLst>
              <a:gd name="adj" fmla="val 8000"/>
            </a:avLst>
          </a:prstGeom>
          <a:solidFill>
            <a:srgbClr val="F8FBFF"/>
          </a:solidFill>
          <a:ln>
            <a:solidFill>
              <a:srgbClr val="CADCFA"/>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a:p>
        </xdr:txBody>
      </xdr:sp>
      <xdr:sp macro="" textlink="">
        <xdr:nvSpPr>
          <xdr:cNvPr id="18" name="Rounded Rectangle 58">
            <a:extLst>
              <a:ext uri="{FF2B5EF4-FFF2-40B4-BE49-F238E27FC236}">
                <a16:creationId xmlns:a16="http://schemas.microsoft.com/office/drawing/2014/main" id="{EF83764C-2A2B-29B2-6519-1EE596AA89A6}"/>
              </a:ext>
            </a:extLst>
          </xdr:cNvPr>
          <xdr:cNvSpPr/>
        </xdr:nvSpPr>
        <xdr:spPr>
          <a:xfrm>
            <a:off x="10139787" y="4892016"/>
            <a:ext cx="4505263" cy="2075688"/>
          </a:xfrm>
          <a:prstGeom prst="roundRect">
            <a:avLst>
              <a:gd name="adj" fmla="val 8000"/>
            </a:avLst>
          </a:prstGeom>
          <a:solidFill>
            <a:srgbClr val="F8FBFF"/>
          </a:solidFill>
          <a:ln>
            <a:solidFill>
              <a:srgbClr val="CADCFA"/>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a:p>
        </xdr:txBody>
      </xdr:sp>
      <xdr:sp macro="" textlink="">
        <xdr:nvSpPr>
          <xdr:cNvPr id="19" name="Rounded Rectangle 6">
            <a:hlinkClick xmlns:r="http://schemas.openxmlformats.org/officeDocument/2006/relationships" r:id="rId2"/>
            <a:extLst>
              <a:ext uri="{FF2B5EF4-FFF2-40B4-BE49-F238E27FC236}">
                <a16:creationId xmlns:a16="http://schemas.microsoft.com/office/drawing/2014/main" id="{0D7767D4-5F32-767D-608A-6DB35B9F0CE4}"/>
              </a:ext>
            </a:extLst>
          </xdr:cNvPr>
          <xdr:cNvSpPr/>
        </xdr:nvSpPr>
        <xdr:spPr>
          <a:xfrm>
            <a:off x="-268193" y="2486641"/>
            <a:ext cx="1234440" cy="365760"/>
          </a:xfrm>
          <a:prstGeom prst="roundRect">
            <a:avLst>
              <a:gd name="adj" fmla="val 8000"/>
            </a:avLst>
          </a:prstGeom>
          <a:solidFill>
            <a:srgbClr val="E2EDFF"/>
          </a:solidFill>
          <a:ln>
            <a:solidFill>
              <a:srgbClr val="E2EDFF"/>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US" b="1">
                <a:solidFill>
                  <a:schemeClr val="bg2">
                    <a:lumMod val="25000"/>
                  </a:schemeClr>
                </a:solidFill>
              </a:rPr>
              <a:t>CALC</a:t>
            </a:r>
            <a:endParaRPr b="1">
              <a:solidFill>
                <a:schemeClr val="bg2">
                  <a:lumMod val="25000"/>
                </a:schemeClr>
              </a:solidFill>
            </a:endParaRPr>
          </a:p>
        </xdr:txBody>
      </xdr:sp>
      <xdr:sp macro="" textlink="">
        <xdr:nvSpPr>
          <xdr:cNvPr id="20" name="Rounded Rectangle 6">
            <a:extLst>
              <a:ext uri="{FF2B5EF4-FFF2-40B4-BE49-F238E27FC236}">
                <a16:creationId xmlns:a16="http://schemas.microsoft.com/office/drawing/2014/main" id="{732014A4-F7E5-C465-47F2-3E9EF3773058}"/>
              </a:ext>
            </a:extLst>
          </xdr:cNvPr>
          <xdr:cNvSpPr/>
        </xdr:nvSpPr>
        <xdr:spPr>
          <a:xfrm>
            <a:off x="-223655" y="3470148"/>
            <a:ext cx="1234440" cy="365760"/>
          </a:xfrm>
          <a:prstGeom prst="roundRect">
            <a:avLst>
              <a:gd name="adj" fmla="val 8000"/>
            </a:avLst>
          </a:prstGeom>
          <a:solidFill>
            <a:srgbClr val="E2EDFF"/>
          </a:solidFill>
          <a:ln>
            <a:solidFill>
              <a:srgbClr val="E2EDFF"/>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US" b="1">
                <a:solidFill>
                  <a:schemeClr val="bg2">
                    <a:lumMod val="25000"/>
                  </a:schemeClr>
                </a:solidFill>
              </a:rPr>
              <a:t>KPI'S</a:t>
            </a:r>
            <a:endParaRPr b="1">
              <a:solidFill>
                <a:schemeClr val="bg2">
                  <a:lumMod val="25000"/>
                </a:schemeClr>
              </a:solidFill>
            </a:endParaRPr>
          </a:p>
        </xdr:txBody>
      </xdr:sp>
    </xdr:grpSp>
    <xdr:clientData/>
  </xdr:twoCellAnchor>
  <xdr:twoCellAnchor>
    <xdr:from>
      <xdr:col>6</xdr:col>
      <xdr:colOff>427181</xdr:colOff>
      <xdr:row>16</xdr:row>
      <xdr:rowOff>46182</xdr:rowOff>
    </xdr:from>
    <xdr:to>
      <xdr:col>14</xdr:col>
      <xdr:colOff>600364</xdr:colOff>
      <xdr:row>29</xdr:row>
      <xdr:rowOff>46182</xdr:rowOff>
    </xdr:to>
    <xdr:graphicFrame macro="">
      <xdr:nvGraphicFramePr>
        <xdr:cNvPr id="21" name="Chart 20">
          <a:extLst>
            <a:ext uri="{FF2B5EF4-FFF2-40B4-BE49-F238E27FC236}">
              <a16:creationId xmlns:a16="http://schemas.microsoft.com/office/drawing/2014/main" id="{ED3C0867-D573-4A83-95D1-D9F99A5DB0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23</xdr:col>
      <xdr:colOff>198628</xdr:colOff>
      <xdr:row>2</xdr:row>
      <xdr:rowOff>135481</xdr:rowOff>
    </xdr:from>
    <xdr:to>
      <xdr:col>26</xdr:col>
      <xdr:colOff>530619</xdr:colOff>
      <xdr:row>7</xdr:row>
      <xdr:rowOff>23326</xdr:rowOff>
    </xdr:to>
    <mc:AlternateContent xmlns:mc="http://schemas.openxmlformats.org/markup-compatibility/2006" xmlns:tsle="http://schemas.microsoft.com/office/drawing/2012/timeslicer">
      <mc:Choice Requires="tsle">
        <xdr:graphicFrame macro="">
          <xdr:nvGraphicFramePr>
            <xdr:cNvPr id="22" name="Date 1">
              <a:extLst>
                <a:ext uri="{FF2B5EF4-FFF2-40B4-BE49-F238E27FC236}">
                  <a16:creationId xmlns:a16="http://schemas.microsoft.com/office/drawing/2014/main" id="{F76B3EAB-D431-44EC-A748-26B5E15882F1}"/>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4207506" y="498338"/>
              <a:ext cx="2159235" cy="79498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15</xdr:col>
      <xdr:colOff>588819</xdr:colOff>
      <xdr:row>15</xdr:row>
      <xdr:rowOff>92364</xdr:rowOff>
    </xdr:from>
    <xdr:to>
      <xdr:col>20</xdr:col>
      <xdr:colOff>450274</xdr:colOff>
      <xdr:row>29</xdr:row>
      <xdr:rowOff>80817</xdr:rowOff>
    </xdr:to>
    <xdr:graphicFrame macro="">
      <xdr:nvGraphicFramePr>
        <xdr:cNvPr id="24" name="Chart 23">
          <a:extLst>
            <a:ext uri="{FF2B5EF4-FFF2-40B4-BE49-F238E27FC236}">
              <a16:creationId xmlns:a16="http://schemas.microsoft.com/office/drawing/2014/main" id="{F50CEBF1-5686-4159-B209-284F5A78FC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254000</xdr:colOff>
      <xdr:row>32</xdr:row>
      <xdr:rowOff>150090</xdr:rowOff>
    </xdr:from>
    <xdr:to>
      <xdr:col>20</xdr:col>
      <xdr:colOff>346363</xdr:colOff>
      <xdr:row>42</xdr:row>
      <xdr:rowOff>173181</xdr:rowOff>
    </xdr:to>
    <xdr:graphicFrame macro="">
      <xdr:nvGraphicFramePr>
        <xdr:cNvPr id="26" name="Chart 25">
          <a:extLst>
            <a:ext uri="{FF2B5EF4-FFF2-40B4-BE49-F238E27FC236}">
              <a16:creationId xmlns:a16="http://schemas.microsoft.com/office/drawing/2014/main" id="{E3A14CCA-763C-4BAC-B0ED-E2B5D92D97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482081</xdr:colOff>
      <xdr:row>32</xdr:row>
      <xdr:rowOff>129829</xdr:rowOff>
    </xdr:from>
    <xdr:to>
      <xdr:col>13</xdr:col>
      <xdr:colOff>285808</xdr:colOff>
      <xdr:row>44</xdr:row>
      <xdr:rowOff>72101</xdr:rowOff>
    </xdr:to>
    <xdr:graphicFrame macro="">
      <xdr:nvGraphicFramePr>
        <xdr:cNvPr id="27" name="Chart 26">
          <a:extLst>
            <a:ext uri="{FF2B5EF4-FFF2-40B4-BE49-F238E27FC236}">
              <a16:creationId xmlns:a16="http://schemas.microsoft.com/office/drawing/2014/main" id="{65462581-C3C9-432C-BA5F-7A810189E5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484438</xdr:colOff>
      <xdr:row>19</xdr:row>
      <xdr:rowOff>145848</xdr:rowOff>
    </xdr:from>
    <xdr:to>
      <xdr:col>27</xdr:col>
      <xdr:colOff>438256</xdr:colOff>
      <xdr:row>31</xdr:row>
      <xdr:rowOff>7305</xdr:rowOff>
    </xdr:to>
    <xdr:graphicFrame macro="">
      <xdr:nvGraphicFramePr>
        <xdr:cNvPr id="28" name="Chart 27">
          <a:extLst>
            <a:ext uri="{FF2B5EF4-FFF2-40B4-BE49-F238E27FC236}">
              <a16:creationId xmlns:a16="http://schemas.microsoft.com/office/drawing/2014/main" id="{460D19C7-E920-4DB5-9E6F-5756EBBFF3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362858</xdr:colOff>
      <xdr:row>14</xdr:row>
      <xdr:rowOff>168469</xdr:rowOff>
    </xdr:from>
    <xdr:to>
      <xdr:col>14</xdr:col>
      <xdr:colOff>181428</xdr:colOff>
      <xdr:row>16</xdr:row>
      <xdr:rowOff>64796</xdr:rowOff>
    </xdr:to>
    <xdr:sp macro="" textlink="">
      <xdr:nvSpPr>
        <xdr:cNvPr id="23" name="TextBox 22">
          <a:extLst>
            <a:ext uri="{FF2B5EF4-FFF2-40B4-BE49-F238E27FC236}">
              <a16:creationId xmlns:a16="http://schemas.microsoft.com/office/drawing/2014/main" id="{6051E158-BB06-E448-5CF8-7679AD0298D7}"/>
            </a:ext>
          </a:extLst>
        </xdr:cNvPr>
        <xdr:cNvSpPr txBox="1"/>
      </xdr:nvSpPr>
      <xdr:spPr>
        <a:xfrm>
          <a:off x="4626429" y="2708469"/>
          <a:ext cx="4082142" cy="2591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75000"/>
                </a:schemeClr>
              </a:solidFill>
            </a:rPr>
            <a:t>MONTHLY REVENUE TREND</a:t>
          </a:r>
        </a:p>
      </xdr:txBody>
    </xdr:sp>
    <xdr:clientData/>
  </xdr:twoCellAnchor>
  <xdr:oneCellAnchor>
    <xdr:from>
      <xdr:col>8</xdr:col>
      <xdr:colOff>12959</xdr:colOff>
      <xdr:row>31</xdr:row>
      <xdr:rowOff>103673</xdr:rowOff>
    </xdr:from>
    <xdr:ext cx="184731" cy="264560"/>
    <xdr:sp macro="" textlink="">
      <xdr:nvSpPr>
        <xdr:cNvPr id="25" name="TextBox 24">
          <a:extLst>
            <a:ext uri="{FF2B5EF4-FFF2-40B4-BE49-F238E27FC236}">
              <a16:creationId xmlns:a16="http://schemas.microsoft.com/office/drawing/2014/main" id="{AD1F08AF-DDAE-A6DC-9033-9D6BEA67194A}"/>
            </a:ext>
          </a:extLst>
        </xdr:cNvPr>
        <xdr:cNvSpPr txBox="1"/>
      </xdr:nvSpPr>
      <xdr:spPr>
        <a:xfrm>
          <a:off x="4885612" y="572795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16</xdr:col>
      <xdr:colOff>116633</xdr:colOff>
      <xdr:row>14</xdr:row>
      <xdr:rowOff>64795</xdr:rowOff>
    </xdr:from>
    <xdr:to>
      <xdr:col>20</xdr:col>
      <xdr:colOff>401734</xdr:colOff>
      <xdr:row>16</xdr:row>
      <xdr:rowOff>12959</xdr:rowOff>
    </xdr:to>
    <xdr:sp macro="" textlink="">
      <xdr:nvSpPr>
        <xdr:cNvPr id="29" name="TextBox 28">
          <a:extLst>
            <a:ext uri="{FF2B5EF4-FFF2-40B4-BE49-F238E27FC236}">
              <a16:creationId xmlns:a16="http://schemas.microsoft.com/office/drawing/2014/main" id="{0A2B87D5-4797-563A-08AC-AF2B7B0DF965}"/>
            </a:ext>
          </a:extLst>
        </xdr:cNvPr>
        <xdr:cNvSpPr txBox="1"/>
      </xdr:nvSpPr>
      <xdr:spPr>
        <a:xfrm>
          <a:off x="9861939" y="2604795"/>
          <a:ext cx="2721428" cy="3110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75000"/>
                </a:schemeClr>
              </a:solidFill>
            </a:rPr>
            <a:t>ORDERS</a:t>
          </a:r>
          <a:r>
            <a:rPr lang="en-US" sz="1400" b="1" baseline="0">
              <a:solidFill>
                <a:schemeClr val="bg2">
                  <a:lumMod val="75000"/>
                </a:schemeClr>
              </a:solidFill>
            </a:rPr>
            <a:t> BY STATUS</a:t>
          </a:r>
          <a:endParaRPr lang="en-US" sz="1400" b="1">
            <a:solidFill>
              <a:schemeClr val="bg2">
                <a:lumMod val="75000"/>
              </a:schemeClr>
            </a:solidFill>
          </a:endParaRPr>
        </a:p>
      </xdr:txBody>
    </xdr:sp>
    <xdr:clientData/>
  </xdr:twoCellAnchor>
  <xdr:twoCellAnchor>
    <xdr:from>
      <xdr:col>21</xdr:col>
      <xdr:colOff>596123</xdr:colOff>
      <xdr:row>18</xdr:row>
      <xdr:rowOff>51836</xdr:rowOff>
    </xdr:from>
    <xdr:to>
      <xdr:col>26</xdr:col>
      <xdr:colOff>311021</xdr:colOff>
      <xdr:row>19</xdr:row>
      <xdr:rowOff>168468</xdr:rowOff>
    </xdr:to>
    <xdr:sp macro="" textlink="">
      <xdr:nvSpPr>
        <xdr:cNvPr id="30" name="TextBox 29">
          <a:extLst>
            <a:ext uri="{FF2B5EF4-FFF2-40B4-BE49-F238E27FC236}">
              <a16:creationId xmlns:a16="http://schemas.microsoft.com/office/drawing/2014/main" id="{B653D026-9309-7856-F3E5-FD740CB5859F}"/>
            </a:ext>
          </a:extLst>
        </xdr:cNvPr>
        <xdr:cNvSpPr txBox="1"/>
      </xdr:nvSpPr>
      <xdr:spPr>
        <a:xfrm>
          <a:off x="13386837" y="3317550"/>
          <a:ext cx="2760306" cy="298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75000"/>
                </a:schemeClr>
              </a:solidFill>
            </a:rPr>
            <a:t>LOSS RATE BY PAMENT METHOD</a:t>
          </a:r>
        </a:p>
      </xdr:txBody>
    </xdr:sp>
    <xdr:clientData/>
  </xdr:twoCellAnchor>
  <xdr:twoCellAnchor>
    <xdr:from>
      <xdr:col>7</xdr:col>
      <xdr:colOff>505408</xdr:colOff>
      <xdr:row>31</xdr:row>
      <xdr:rowOff>64796</xdr:rowOff>
    </xdr:from>
    <xdr:to>
      <xdr:col>11</xdr:col>
      <xdr:colOff>583164</xdr:colOff>
      <xdr:row>32</xdr:row>
      <xdr:rowOff>129592</xdr:rowOff>
    </xdr:to>
    <xdr:sp macro="" textlink="">
      <xdr:nvSpPr>
        <xdr:cNvPr id="31" name="TextBox 30">
          <a:extLst>
            <a:ext uri="{FF2B5EF4-FFF2-40B4-BE49-F238E27FC236}">
              <a16:creationId xmlns:a16="http://schemas.microsoft.com/office/drawing/2014/main" id="{92E7385E-7F9D-7071-3C79-83DEA0838867}"/>
            </a:ext>
          </a:extLst>
        </xdr:cNvPr>
        <xdr:cNvSpPr txBox="1"/>
      </xdr:nvSpPr>
      <xdr:spPr>
        <a:xfrm>
          <a:off x="4768979" y="5689082"/>
          <a:ext cx="2514083" cy="24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75000"/>
                </a:schemeClr>
              </a:solidFill>
            </a:rPr>
            <a:t>TOP PRODUCT</a:t>
          </a:r>
        </a:p>
      </xdr:txBody>
    </xdr:sp>
    <xdr:clientData/>
  </xdr:twoCellAnchor>
  <xdr:twoCellAnchor>
    <xdr:from>
      <xdr:col>14</xdr:col>
      <xdr:colOff>440612</xdr:colOff>
      <xdr:row>32</xdr:row>
      <xdr:rowOff>12959</xdr:rowOff>
    </xdr:from>
    <xdr:to>
      <xdr:col>19</xdr:col>
      <xdr:colOff>414694</xdr:colOff>
      <xdr:row>33</xdr:row>
      <xdr:rowOff>103673</xdr:rowOff>
    </xdr:to>
    <xdr:sp macro="" textlink="">
      <xdr:nvSpPr>
        <xdr:cNvPr id="32" name="TextBox 31">
          <a:extLst>
            <a:ext uri="{FF2B5EF4-FFF2-40B4-BE49-F238E27FC236}">
              <a16:creationId xmlns:a16="http://schemas.microsoft.com/office/drawing/2014/main" id="{C522FCBB-1280-47A2-DB75-2361F887BF55}"/>
            </a:ext>
          </a:extLst>
        </xdr:cNvPr>
        <xdr:cNvSpPr txBox="1"/>
      </xdr:nvSpPr>
      <xdr:spPr>
        <a:xfrm>
          <a:off x="8967755" y="5818673"/>
          <a:ext cx="3019490"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75000"/>
                </a:schemeClr>
              </a:solidFill>
            </a:rPr>
            <a:t>REVENUE</a:t>
          </a:r>
          <a:r>
            <a:rPr lang="en-US" sz="1400" b="1" baseline="0">
              <a:solidFill>
                <a:schemeClr val="bg2">
                  <a:lumMod val="75000"/>
                </a:schemeClr>
              </a:solidFill>
            </a:rPr>
            <a:t> BY PAYMENT METHOD</a:t>
          </a:r>
          <a:endParaRPr lang="en-US" sz="1400" b="1">
            <a:solidFill>
              <a:schemeClr val="bg2">
                <a:lumMod val="75000"/>
              </a:schemeClr>
            </a:solidFill>
          </a:endParaRPr>
        </a:p>
      </xdr:txBody>
    </xdr:sp>
    <xdr:clientData/>
  </xdr:twoCellAnchor>
  <xdr:twoCellAnchor>
    <xdr:from>
      <xdr:col>26</xdr:col>
      <xdr:colOff>427652</xdr:colOff>
      <xdr:row>31</xdr:row>
      <xdr:rowOff>90714</xdr:rowOff>
    </xdr:from>
    <xdr:to>
      <xdr:col>28</xdr:col>
      <xdr:colOff>155509</xdr:colOff>
      <xdr:row>33</xdr:row>
      <xdr:rowOff>12959</xdr:rowOff>
    </xdr:to>
    <xdr:sp macro="" textlink="">
      <xdr:nvSpPr>
        <xdr:cNvPr id="33" name="TextBox 32">
          <a:extLst>
            <a:ext uri="{FF2B5EF4-FFF2-40B4-BE49-F238E27FC236}">
              <a16:creationId xmlns:a16="http://schemas.microsoft.com/office/drawing/2014/main" id="{1F7A1E76-CBE4-832B-AE6B-97B9807AEB2D}"/>
            </a:ext>
          </a:extLst>
        </xdr:cNvPr>
        <xdr:cNvSpPr txBox="1"/>
      </xdr:nvSpPr>
      <xdr:spPr>
        <a:xfrm>
          <a:off x="16263774" y="5715000"/>
          <a:ext cx="946021" cy="285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1">
              <a:solidFill>
                <a:schemeClr val="bg2">
                  <a:lumMod val="90000"/>
                </a:schemeClr>
              </a:solidFill>
            </a:rPr>
            <a:t>INSIGHTS</a:t>
          </a:r>
        </a:p>
      </xdr:txBody>
    </xdr:sp>
    <xdr:clientData/>
  </xdr:twoCellAnchor>
  <xdr:twoCellAnchor>
    <xdr:from>
      <xdr:col>21</xdr:col>
      <xdr:colOff>168470</xdr:colOff>
      <xdr:row>7</xdr:row>
      <xdr:rowOff>155509</xdr:rowOff>
    </xdr:from>
    <xdr:to>
      <xdr:col>24</xdr:col>
      <xdr:colOff>168470</xdr:colOff>
      <xdr:row>9</xdr:row>
      <xdr:rowOff>64796</xdr:rowOff>
    </xdr:to>
    <xdr:sp macro="" textlink="">
      <xdr:nvSpPr>
        <xdr:cNvPr id="34" name="TextBox 33">
          <a:extLst>
            <a:ext uri="{FF2B5EF4-FFF2-40B4-BE49-F238E27FC236}">
              <a16:creationId xmlns:a16="http://schemas.microsoft.com/office/drawing/2014/main" id="{7A495208-03DC-F559-3113-0158B416BD7B}"/>
            </a:ext>
          </a:extLst>
        </xdr:cNvPr>
        <xdr:cNvSpPr txBox="1"/>
      </xdr:nvSpPr>
      <xdr:spPr>
        <a:xfrm>
          <a:off x="12959184" y="1425509"/>
          <a:ext cx="1827245" cy="272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75000"/>
                </a:schemeClr>
              </a:solidFill>
            </a:rPr>
            <a:t>GROSS REVENUE</a:t>
          </a:r>
        </a:p>
      </xdr:txBody>
    </xdr:sp>
    <xdr:clientData/>
  </xdr:twoCellAnchor>
  <xdr:twoCellAnchor>
    <xdr:from>
      <xdr:col>24</xdr:col>
      <xdr:colOff>401735</xdr:colOff>
      <xdr:row>7</xdr:row>
      <xdr:rowOff>142551</xdr:rowOff>
    </xdr:from>
    <xdr:to>
      <xdr:col>27</xdr:col>
      <xdr:colOff>349898</xdr:colOff>
      <xdr:row>9</xdr:row>
      <xdr:rowOff>77755</xdr:rowOff>
    </xdr:to>
    <xdr:sp macro="" textlink="">
      <xdr:nvSpPr>
        <xdr:cNvPr id="35" name="TextBox 34">
          <a:extLst>
            <a:ext uri="{FF2B5EF4-FFF2-40B4-BE49-F238E27FC236}">
              <a16:creationId xmlns:a16="http://schemas.microsoft.com/office/drawing/2014/main" id="{68398BDC-472D-7A6C-0E83-E63314FA1119}"/>
            </a:ext>
          </a:extLst>
        </xdr:cNvPr>
        <xdr:cNvSpPr txBox="1"/>
      </xdr:nvSpPr>
      <xdr:spPr>
        <a:xfrm>
          <a:off x="15019694" y="1412551"/>
          <a:ext cx="1775408" cy="298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75000"/>
                </a:schemeClr>
              </a:solidFill>
            </a:rPr>
            <a:t>NET REVENUE</a:t>
          </a:r>
        </a:p>
      </xdr:txBody>
    </xdr:sp>
    <xdr:clientData/>
  </xdr:twoCellAnchor>
  <xdr:twoCellAnchor>
    <xdr:from>
      <xdr:col>21</xdr:col>
      <xdr:colOff>168470</xdr:colOff>
      <xdr:row>12</xdr:row>
      <xdr:rowOff>168469</xdr:rowOff>
    </xdr:from>
    <xdr:to>
      <xdr:col>24</xdr:col>
      <xdr:colOff>155511</xdr:colOff>
      <xdr:row>14</xdr:row>
      <xdr:rowOff>38878</xdr:rowOff>
    </xdr:to>
    <xdr:sp macro="" textlink="">
      <xdr:nvSpPr>
        <xdr:cNvPr id="36" name="TextBox 35">
          <a:extLst>
            <a:ext uri="{FF2B5EF4-FFF2-40B4-BE49-F238E27FC236}">
              <a16:creationId xmlns:a16="http://schemas.microsoft.com/office/drawing/2014/main" id="{FB012593-56E1-83C3-4262-E08BF65FC003}"/>
            </a:ext>
          </a:extLst>
        </xdr:cNvPr>
        <xdr:cNvSpPr txBox="1"/>
      </xdr:nvSpPr>
      <xdr:spPr>
        <a:xfrm>
          <a:off x="12959184" y="2345612"/>
          <a:ext cx="1814286" cy="233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75000"/>
                </a:schemeClr>
              </a:solidFill>
            </a:rPr>
            <a:t>REVENUE LOST</a:t>
          </a:r>
        </a:p>
      </xdr:txBody>
    </xdr:sp>
    <xdr:clientData/>
  </xdr:twoCellAnchor>
  <xdr:twoCellAnchor>
    <xdr:from>
      <xdr:col>24</xdr:col>
      <xdr:colOff>362857</xdr:colOff>
      <xdr:row>12</xdr:row>
      <xdr:rowOff>168470</xdr:rowOff>
    </xdr:from>
    <xdr:to>
      <xdr:col>27</xdr:col>
      <xdr:colOff>440612</xdr:colOff>
      <xdr:row>14</xdr:row>
      <xdr:rowOff>51837</xdr:rowOff>
    </xdr:to>
    <xdr:sp macro="" textlink="">
      <xdr:nvSpPr>
        <xdr:cNvPr id="37" name="TextBox 36">
          <a:extLst>
            <a:ext uri="{FF2B5EF4-FFF2-40B4-BE49-F238E27FC236}">
              <a16:creationId xmlns:a16="http://schemas.microsoft.com/office/drawing/2014/main" id="{7CB7B42B-3BF2-D134-EA76-4C37BFE2AC43}"/>
            </a:ext>
          </a:extLst>
        </xdr:cNvPr>
        <xdr:cNvSpPr txBox="1"/>
      </xdr:nvSpPr>
      <xdr:spPr>
        <a:xfrm>
          <a:off x="14980816" y="2345613"/>
          <a:ext cx="1905000" cy="24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75000"/>
                </a:schemeClr>
              </a:solidFill>
            </a:rPr>
            <a:t>REVENUE PENDING</a:t>
          </a:r>
        </a:p>
      </xdr:txBody>
    </xdr:sp>
    <xdr:clientData/>
  </xdr:twoCellAnchor>
  <xdr:twoCellAnchor>
    <xdr:from>
      <xdr:col>21</xdr:col>
      <xdr:colOff>336938</xdr:colOff>
      <xdr:row>32</xdr:row>
      <xdr:rowOff>129593</xdr:rowOff>
    </xdr:from>
    <xdr:to>
      <xdr:col>29</xdr:col>
      <xdr:colOff>25918</xdr:colOff>
      <xdr:row>43</xdr:row>
      <xdr:rowOff>129592</xdr:rowOff>
    </xdr:to>
    <xdr:sp macro="" textlink="">
      <xdr:nvSpPr>
        <xdr:cNvPr id="38" name="TextBox 37">
          <a:extLst>
            <a:ext uri="{FF2B5EF4-FFF2-40B4-BE49-F238E27FC236}">
              <a16:creationId xmlns:a16="http://schemas.microsoft.com/office/drawing/2014/main" id="{EBEA851A-BF1F-8A18-DC0A-74CA2ECC8D22}"/>
            </a:ext>
          </a:extLst>
        </xdr:cNvPr>
        <xdr:cNvSpPr txBox="1"/>
      </xdr:nvSpPr>
      <xdr:spPr>
        <a:xfrm>
          <a:off x="13127652" y="5935307"/>
          <a:ext cx="4561633" cy="1995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i="0">
              <a:solidFill>
                <a:schemeClr val="tx1">
                  <a:lumMod val="75000"/>
                  <a:lumOff val="25000"/>
                </a:schemeClr>
              </a:solidFill>
            </a:rPr>
            <a:t>*</a:t>
          </a:r>
          <a:r>
            <a:rPr lang="en-US" sz="2400" b="1" i="0" baseline="0">
              <a:solidFill>
                <a:schemeClr val="tx1">
                  <a:lumMod val="75000"/>
                  <a:lumOff val="25000"/>
                </a:schemeClr>
              </a:solidFill>
            </a:rPr>
            <a:t> </a:t>
          </a:r>
          <a:r>
            <a:rPr lang="en-US" sz="1600" i="1" baseline="0">
              <a:solidFill>
                <a:schemeClr val="tx1">
                  <a:lumMod val="75000"/>
                  <a:lumOff val="25000"/>
                </a:schemeClr>
              </a:solidFill>
            </a:rPr>
            <a:t>From 2023 to 2025 , 0verall revenue declinred, with gross revenue falling from 552,647 to  231,883 and net revenue from 330,548 to 114,200. Revenue lost also declined, but remained substantial  relative to gross revenue. The trend highlights  a need to investigate changesn in order status , product performance and payment methods driving the decline.</a:t>
          </a:r>
          <a:endParaRPr lang="en-US" sz="1600" i="1">
            <a:solidFill>
              <a:schemeClr val="tx1">
                <a:lumMod val="75000"/>
                <a:lumOff val="25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86711</xdr:colOff>
      <xdr:row>2</xdr:row>
      <xdr:rowOff>119556</xdr:rowOff>
    </xdr:from>
    <xdr:to>
      <xdr:col>24</xdr:col>
      <xdr:colOff>86406</xdr:colOff>
      <xdr:row>39</xdr:row>
      <xdr:rowOff>165976</xdr:rowOff>
    </xdr:to>
    <xdr:grpSp>
      <xdr:nvGrpSpPr>
        <xdr:cNvPr id="2" name="Group 1">
          <a:extLst>
            <a:ext uri="{FF2B5EF4-FFF2-40B4-BE49-F238E27FC236}">
              <a16:creationId xmlns:a16="http://schemas.microsoft.com/office/drawing/2014/main" id="{2F428686-1047-042F-4B5F-9B60479435C3}"/>
            </a:ext>
          </a:extLst>
        </xdr:cNvPr>
        <xdr:cNvGrpSpPr/>
      </xdr:nvGrpSpPr>
      <xdr:grpSpPr>
        <a:xfrm>
          <a:off x="2539125" y="491797"/>
          <a:ext cx="12261764" cy="6932886"/>
          <a:chOff x="1219200" y="747272"/>
          <a:chExt cx="12191695" cy="6858000"/>
        </a:xfrm>
      </xdr:grpSpPr>
      <xdr:sp macro="" textlink="">
        <xdr:nvSpPr>
          <xdr:cNvPr id="3" name="Rectangle 2">
            <a:extLst>
              <a:ext uri="{FF2B5EF4-FFF2-40B4-BE49-F238E27FC236}">
                <a16:creationId xmlns:a16="http://schemas.microsoft.com/office/drawing/2014/main" id="{903F1D83-79FE-AC33-7063-7E29EDBE0BD5}"/>
              </a:ext>
            </a:extLst>
          </xdr:cNvPr>
          <xdr:cNvSpPr/>
        </xdr:nvSpPr>
        <xdr:spPr>
          <a:xfrm>
            <a:off x="1219200" y="747272"/>
            <a:ext cx="12191695" cy="6858000"/>
          </a:xfrm>
          <a:prstGeom prst="rect">
            <a:avLst/>
          </a:prstGeom>
          <a:solidFill>
            <a:schemeClr val="bg2">
              <a:lumMod val="90000"/>
            </a:schemeClr>
          </a:solidFill>
          <a:ln>
            <a:no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a:p>
        </xdr:txBody>
      </xdr:sp>
      <xdr:sp macro="" textlink="TotalOders">
        <xdr:nvSpPr>
          <xdr:cNvPr id="4" name="Rounded Rectangle 13">
            <a:extLst>
              <a:ext uri="{FF2B5EF4-FFF2-40B4-BE49-F238E27FC236}">
                <a16:creationId xmlns:a16="http://schemas.microsoft.com/office/drawing/2014/main" id="{0E4E2605-A127-126E-AA36-49BBB89A8BBF}"/>
              </a:ext>
            </a:extLst>
          </xdr:cNvPr>
          <xdr:cNvSpPr/>
        </xdr:nvSpPr>
        <xdr:spPr>
          <a:xfrm>
            <a:off x="1449977" y="1946639"/>
            <a:ext cx="3429000" cy="1325880"/>
          </a:xfrm>
          <a:prstGeom prst="roundRect">
            <a:avLst/>
          </a:prstGeom>
          <a:solidFill>
            <a:schemeClr val="bg2"/>
          </a:solidFill>
          <a:ln>
            <a:solidFill>
              <a:srgbClr val="F8FBFF"/>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fld id="{2A883C9E-088A-4D80-B14E-4DD65287035D}" type="TxLink">
              <a:rPr lang="en-US" sz="3600" b="1" i="0" u="none" strike="noStrike">
                <a:solidFill>
                  <a:schemeClr val="bg2">
                    <a:lumMod val="50000"/>
                  </a:schemeClr>
                </a:solidFill>
                <a:latin typeface="Aptos Narrow"/>
              </a:rPr>
              <a:pPr algn="ctr"/>
              <a:t>1200</a:t>
            </a:fld>
            <a:endParaRPr sz="3600" b="1">
              <a:solidFill>
                <a:schemeClr val="bg2">
                  <a:lumMod val="50000"/>
                </a:schemeClr>
              </a:solidFill>
            </a:endParaRPr>
          </a:p>
        </xdr:txBody>
      </xdr:sp>
      <xdr:sp macro="" textlink="TotalItemsInCart">
        <xdr:nvSpPr>
          <xdr:cNvPr id="5" name="Rounded Rectangle 16">
            <a:extLst>
              <a:ext uri="{FF2B5EF4-FFF2-40B4-BE49-F238E27FC236}">
                <a16:creationId xmlns:a16="http://schemas.microsoft.com/office/drawing/2014/main" id="{513C4BA8-27F3-181E-E246-E2B67643121F}"/>
              </a:ext>
            </a:extLst>
          </xdr:cNvPr>
          <xdr:cNvSpPr/>
        </xdr:nvSpPr>
        <xdr:spPr>
          <a:xfrm>
            <a:off x="5288280" y="1946640"/>
            <a:ext cx="3429000" cy="1325880"/>
          </a:xfrm>
          <a:prstGeom prst="roundRect">
            <a:avLst/>
          </a:prstGeom>
          <a:solidFill>
            <a:schemeClr val="bg2"/>
          </a:solidFill>
          <a:ln>
            <a:solidFill>
              <a:srgbClr val="F8FBFF"/>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fld id="{212B56EE-B20B-473A-9FCE-DC981BD5E475}" type="TxLink">
              <a:rPr lang="en-US" sz="3600" b="1" i="0" u="none" strike="noStrike">
                <a:solidFill>
                  <a:schemeClr val="bg2">
                    <a:lumMod val="50000"/>
                  </a:schemeClr>
                </a:solidFill>
                <a:latin typeface="Aptos Narrow"/>
              </a:rPr>
              <a:pPr algn="ctr"/>
              <a:t>6582</a:t>
            </a:fld>
            <a:endParaRPr sz="3600" b="1">
              <a:solidFill>
                <a:schemeClr val="bg2">
                  <a:lumMod val="50000"/>
                </a:schemeClr>
              </a:solidFill>
            </a:endParaRPr>
          </a:p>
        </xdr:txBody>
      </xdr:sp>
      <xdr:sp macro="" textlink="TotalItemsCheckedOut">
        <xdr:nvSpPr>
          <xdr:cNvPr id="6" name="Rounded Rectangle 19">
            <a:extLst>
              <a:ext uri="{FF2B5EF4-FFF2-40B4-BE49-F238E27FC236}">
                <a16:creationId xmlns:a16="http://schemas.microsoft.com/office/drawing/2014/main" id="{E44F9815-3589-3082-6992-CA1AAC4F474E}"/>
              </a:ext>
            </a:extLst>
          </xdr:cNvPr>
          <xdr:cNvSpPr/>
        </xdr:nvSpPr>
        <xdr:spPr>
          <a:xfrm>
            <a:off x="9235440" y="1979130"/>
            <a:ext cx="3429000" cy="1325880"/>
          </a:xfrm>
          <a:prstGeom prst="roundRect">
            <a:avLst/>
          </a:prstGeom>
          <a:solidFill>
            <a:schemeClr val="bg2"/>
          </a:solidFill>
          <a:ln>
            <a:solidFill>
              <a:srgbClr val="F8FBFF"/>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fld id="{5ACFFFE2-F4C5-4A45-B925-351FE7FA8804}" type="TxLink">
              <a:rPr lang="en-US" sz="3600" b="1" i="0" u="none" strike="noStrike">
                <a:solidFill>
                  <a:schemeClr val="bg2">
                    <a:lumMod val="50000"/>
                  </a:schemeClr>
                </a:solidFill>
                <a:latin typeface="Aptos Narrow"/>
              </a:rPr>
              <a:pPr algn="ctr"/>
              <a:t>3535</a:t>
            </a:fld>
            <a:endParaRPr sz="3600" b="1">
              <a:solidFill>
                <a:schemeClr val="bg2">
                  <a:lumMod val="50000"/>
                </a:schemeClr>
              </a:solidFill>
            </a:endParaRPr>
          </a:p>
        </xdr:txBody>
      </xdr:sp>
      <xdr:sp macro="" textlink="ToatalLostOrders">
        <xdr:nvSpPr>
          <xdr:cNvPr id="7" name="Rounded Rectangle 22">
            <a:extLst>
              <a:ext uri="{FF2B5EF4-FFF2-40B4-BE49-F238E27FC236}">
                <a16:creationId xmlns:a16="http://schemas.microsoft.com/office/drawing/2014/main" id="{FB434B2A-B7AE-A60D-01DE-37B1D080AF77}"/>
              </a:ext>
            </a:extLst>
          </xdr:cNvPr>
          <xdr:cNvSpPr/>
        </xdr:nvSpPr>
        <xdr:spPr>
          <a:xfrm>
            <a:off x="2778034" y="4309741"/>
            <a:ext cx="3429000" cy="1325880"/>
          </a:xfrm>
          <a:prstGeom prst="roundRect">
            <a:avLst/>
          </a:prstGeom>
          <a:solidFill>
            <a:schemeClr val="bg2"/>
          </a:solidFill>
          <a:ln>
            <a:solidFill>
              <a:srgbClr val="F8FBFF"/>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fld id="{D93DD5E3-2708-4197-AFCC-9169670F123B}" type="TxLink">
              <a:rPr lang="en-US" sz="3600" b="1" i="0" u="none" strike="noStrike">
                <a:solidFill>
                  <a:schemeClr val="bg2">
                    <a:lumMod val="50000"/>
                  </a:schemeClr>
                </a:solidFill>
                <a:latin typeface="Aptos Narrow"/>
              </a:rPr>
              <a:pPr algn="ctr"/>
              <a:t>497</a:t>
            </a:fld>
            <a:endParaRPr sz="3600" b="1">
              <a:solidFill>
                <a:schemeClr val="bg2">
                  <a:lumMod val="50000"/>
                </a:schemeClr>
              </a:solidFill>
            </a:endParaRPr>
          </a:p>
        </xdr:txBody>
      </xdr:sp>
      <xdr:sp macro="" textlink="LossRate">
        <xdr:nvSpPr>
          <xdr:cNvPr id="8" name="Rounded Rectangle 25">
            <a:extLst>
              <a:ext uri="{FF2B5EF4-FFF2-40B4-BE49-F238E27FC236}">
                <a16:creationId xmlns:a16="http://schemas.microsoft.com/office/drawing/2014/main" id="{3ACD7EBC-7154-4DE1-D647-754697006543}"/>
              </a:ext>
            </a:extLst>
          </xdr:cNvPr>
          <xdr:cNvSpPr/>
        </xdr:nvSpPr>
        <xdr:spPr>
          <a:xfrm>
            <a:off x="7291251" y="4288079"/>
            <a:ext cx="3429000" cy="1325880"/>
          </a:xfrm>
          <a:prstGeom prst="roundRect">
            <a:avLst/>
          </a:prstGeom>
          <a:solidFill>
            <a:schemeClr val="bg2"/>
          </a:solidFill>
          <a:ln>
            <a:solidFill>
              <a:srgbClr val="F8FBFF"/>
            </a:solidFill>
          </a:ln>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fld id="{ECA40ED9-4A30-45CC-BF09-097F4BE6FBC5}" type="TxLink">
              <a:rPr lang="en-US" sz="3600" b="1" i="0" u="none" strike="noStrike">
                <a:solidFill>
                  <a:schemeClr val="bg2">
                    <a:lumMod val="50000"/>
                  </a:schemeClr>
                </a:solidFill>
                <a:latin typeface="Aptos Narrow"/>
              </a:rPr>
              <a:pPr algn="ctr"/>
              <a:t>41%</a:t>
            </a:fld>
            <a:endParaRPr sz="3600" b="1">
              <a:solidFill>
                <a:schemeClr val="bg2">
                  <a:lumMod val="50000"/>
                </a:schemeClr>
              </a:solidFill>
            </a:endParaRPr>
          </a:p>
        </xdr:txBody>
      </xdr:sp>
    </xdr:grpSp>
    <xdr:clientData/>
  </xdr:twoCellAnchor>
  <xdr:twoCellAnchor>
    <xdr:from>
      <xdr:col>12</xdr:col>
      <xdr:colOff>448879</xdr:colOff>
      <xdr:row>2</xdr:row>
      <xdr:rowOff>54743</xdr:rowOff>
    </xdr:from>
    <xdr:to>
      <xdr:col>15</xdr:col>
      <xdr:colOff>10947</xdr:colOff>
      <xdr:row>6</xdr:row>
      <xdr:rowOff>120432</xdr:rowOff>
    </xdr:to>
    <xdr:sp macro="" textlink="">
      <xdr:nvSpPr>
        <xdr:cNvPr id="9" name="TextBox 8">
          <a:extLst>
            <a:ext uri="{FF2B5EF4-FFF2-40B4-BE49-F238E27FC236}">
              <a16:creationId xmlns:a16="http://schemas.microsoft.com/office/drawing/2014/main" id="{27146D99-06E5-EA73-1A50-53000FBEBF93}"/>
            </a:ext>
          </a:extLst>
        </xdr:cNvPr>
        <xdr:cNvSpPr txBox="1"/>
      </xdr:nvSpPr>
      <xdr:spPr>
        <a:xfrm>
          <a:off x="7806120" y="426984"/>
          <a:ext cx="1401379" cy="810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bg2">
                  <a:lumMod val="50000"/>
                </a:schemeClr>
              </a:solidFill>
            </a:rPr>
            <a:t>KPI's</a:t>
          </a:r>
        </a:p>
      </xdr:txBody>
    </xdr:sp>
    <xdr:clientData/>
  </xdr:twoCellAnchor>
  <xdr:oneCellAnchor>
    <xdr:from>
      <xdr:col>5</xdr:col>
      <xdr:colOff>403698</xdr:colOff>
      <xdr:row>9</xdr:row>
      <xdr:rowOff>21896</xdr:rowOff>
    </xdr:from>
    <xdr:ext cx="1939235" cy="311496"/>
    <xdr:sp macro="" textlink="">
      <xdr:nvSpPr>
        <xdr:cNvPr id="10" name="TextBox 9">
          <a:extLst>
            <a:ext uri="{FF2B5EF4-FFF2-40B4-BE49-F238E27FC236}">
              <a16:creationId xmlns:a16="http://schemas.microsoft.com/office/drawing/2014/main" id="{6BDC8C25-29A7-ED8F-E024-5F6AD4F25508}"/>
            </a:ext>
          </a:extLst>
        </xdr:cNvPr>
        <xdr:cNvSpPr txBox="1"/>
      </xdr:nvSpPr>
      <xdr:spPr>
        <a:xfrm flipH="1">
          <a:off x="3469215" y="1696982"/>
          <a:ext cx="193923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a:solidFill>
                <a:schemeClr val="bg2">
                  <a:lumMod val="75000"/>
                </a:schemeClr>
              </a:solidFill>
            </a:rPr>
            <a:t>ORDER COUNT</a:t>
          </a:r>
        </a:p>
      </xdr:txBody>
    </xdr:sp>
    <xdr:clientData/>
  </xdr:oneCellAnchor>
  <xdr:twoCellAnchor>
    <xdr:from>
      <xdr:col>11</xdr:col>
      <xdr:colOff>65689</xdr:colOff>
      <xdr:row>8</xdr:row>
      <xdr:rowOff>175172</xdr:rowOff>
    </xdr:from>
    <xdr:to>
      <xdr:col>15</xdr:col>
      <xdr:colOff>131379</xdr:colOff>
      <xdr:row>10</xdr:row>
      <xdr:rowOff>120431</xdr:rowOff>
    </xdr:to>
    <xdr:sp macro="" textlink="">
      <xdr:nvSpPr>
        <xdr:cNvPr id="11" name="TextBox 10">
          <a:extLst>
            <a:ext uri="{FF2B5EF4-FFF2-40B4-BE49-F238E27FC236}">
              <a16:creationId xmlns:a16="http://schemas.microsoft.com/office/drawing/2014/main" id="{195262EF-37E6-7B4D-017F-E914D86B0C4C}"/>
            </a:ext>
          </a:extLst>
        </xdr:cNvPr>
        <xdr:cNvSpPr txBox="1"/>
      </xdr:nvSpPr>
      <xdr:spPr>
        <a:xfrm>
          <a:off x="6809827" y="1664138"/>
          <a:ext cx="2518104"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75000"/>
                </a:schemeClr>
              </a:solidFill>
            </a:rPr>
            <a:t>TOTAL ITEMS IN CART</a:t>
          </a:r>
        </a:p>
      </xdr:txBody>
    </xdr:sp>
    <xdr:clientData/>
  </xdr:twoCellAnchor>
  <xdr:twoCellAnchor>
    <xdr:from>
      <xdr:col>17</xdr:col>
      <xdr:colOff>383189</xdr:colOff>
      <xdr:row>9</xdr:row>
      <xdr:rowOff>21897</xdr:rowOff>
    </xdr:from>
    <xdr:to>
      <xdr:col>21</xdr:col>
      <xdr:colOff>361293</xdr:colOff>
      <xdr:row>11</xdr:row>
      <xdr:rowOff>21896</xdr:rowOff>
    </xdr:to>
    <xdr:sp macro="" textlink="">
      <xdr:nvSpPr>
        <xdr:cNvPr id="12" name="TextBox 11">
          <a:extLst>
            <a:ext uri="{FF2B5EF4-FFF2-40B4-BE49-F238E27FC236}">
              <a16:creationId xmlns:a16="http://schemas.microsoft.com/office/drawing/2014/main" id="{64D40CB7-82E9-A1E5-7B4C-8A0DD389BA51}"/>
            </a:ext>
          </a:extLst>
        </xdr:cNvPr>
        <xdr:cNvSpPr txBox="1"/>
      </xdr:nvSpPr>
      <xdr:spPr>
        <a:xfrm>
          <a:off x="10805948" y="1696983"/>
          <a:ext cx="2430517" cy="372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75000"/>
                </a:schemeClr>
              </a:solidFill>
            </a:rPr>
            <a:t>TOTAL ITEMS ORDERED</a:t>
          </a:r>
        </a:p>
      </xdr:txBody>
    </xdr:sp>
    <xdr:clientData/>
  </xdr:twoCellAnchor>
  <xdr:twoCellAnchor>
    <xdr:from>
      <xdr:col>7</xdr:col>
      <xdr:colOff>503622</xdr:colOff>
      <xdr:row>22</xdr:row>
      <xdr:rowOff>10948</xdr:rowOff>
    </xdr:from>
    <xdr:to>
      <xdr:col>12</xdr:col>
      <xdr:colOff>32846</xdr:colOff>
      <xdr:row>23</xdr:row>
      <xdr:rowOff>98534</xdr:rowOff>
    </xdr:to>
    <xdr:sp macro="" textlink="">
      <xdr:nvSpPr>
        <xdr:cNvPr id="13" name="TextBox 12">
          <a:extLst>
            <a:ext uri="{FF2B5EF4-FFF2-40B4-BE49-F238E27FC236}">
              <a16:creationId xmlns:a16="http://schemas.microsoft.com/office/drawing/2014/main" id="{FBBFDAF5-FB5F-B921-CE5F-7F523FBEA722}"/>
            </a:ext>
          </a:extLst>
        </xdr:cNvPr>
        <xdr:cNvSpPr txBox="1"/>
      </xdr:nvSpPr>
      <xdr:spPr>
        <a:xfrm>
          <a:off x="4795346" y="4105603"/>
          <a:ext cx="2594741" cy="273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75000"/>
                </a:schemeClr>
              </a:solidFill>
            </a:rPr>
            <a:t>LOST ORDERS</a:t>
          </a:r>
        </a:p>
      </xdr:txBody>
    </xdr:sp>
    <xdr:clientData/>
  </xdr:twoCellAnchor>
  <xdr:twoCellAnchor>
    <xdr:from>
      <xdr:col>15</xdr:col>
      <xdr:colOff>481723</xdr:colOff>
      <xdr:row>21</xdr:row>
      <xdr:rowOff>164224</xdr:rowOff>
    </xdr:from>
    <xdr:to>
      <xdr:col>19</xdr:col>
      <xdr:colOff>65688</xdr:colOff>
      <xdr:row>23</xdr:row>
      <xdr:rowOff>65689</xdr:rowOff>
    </xdr:to>
    <xdr:sp macro="" textlink="">
      <xdr:nvSpPr>
        <xdr:cNvPr id="14" name="TextBox 13">
          <a:extLst>
            <a:ext uri="{FF2B5EF4-FFF2-40B4-BE49-F238E27FC236}">
              <a16:creationId xmlns:a16="http://schemas.microsoft.com/office/drawing/2014/main" id="{1174E6B6-3B52-6AF7-BC79-E83235B62EE3}"/>
            </a:ext>
          </a:extLst>
        </xdr:cNvPr>
        <xdr:cNvSpPr txBox="1"/>
      </xdr:nvSpPr>
      <xdr:spPr>
        <a:xfrm>
          <a:off x="9678275" y="4072758"/>
          <a:ext cx="2036379" cy="273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75000"/>
                </a:schemeClr>
              </a:solidFill>
            </a:rPr>
            <a:t>LOSS RATE</a:t>
          </a:r>
        </a:p>
      </xdr:txBody>
    </xdr:sp>
    <xdr:clientData/>
  </xdr:twoCellAnchor>
  <xdr:twoCellAnchor>
    <xdr:from>
      <xdr:col>6</xdr:col>
      <xdr:colOff>361293</xdr:colOff>
      <xdr:row>31</xdr:row>
      <xdr:rowOff>98535</xdr:rowOff>
    </xdr:from>
    <xdr:to>
      <xdr:col>22</xdr:col>
      <xdr:colOff>186121</xdr:colOff>
      <xdr:row>37</xdr:row>
      <xdr:rowOff>76637</xdr:rowOff>
    </xdr:to>
    <xdr:sp macro="" textlink="">
      <xdr:nvSpPr>
        <xdr:cNvPr id="15" name="TextBox 14">
          <a:extLst>
            <a:ext uri="{FF2B5EF4-FFF2-40B4-BE49-F238E27FC236}">
              <a16:creationId xmlns:a16="http://schemas.microsoft.com/office/drawing/2014/main" id="{EEEFD623-BF4F-C66B-18A8-CF2E612E8187}"/>
            </a:ext>
          </a:extLst>
        </xdr:cNvPr>
        <xdr:cNvSpPr txBox="1"/>
      </xdr:nvSpPr>
      <xdr:spPr>
        <a:xfrm>
          <a:off x="4039914" y="5868276"/>
          <a:ext cx="9634483" cy="1094827"/>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1">
              <a:solidFill>
                <a:schemeClr val="tx1">
                  <a:lumMod val="75000"/>
                  <a:lumOff val="25000"/>
                </a:schemeClr>
              </a:solidFill>
            </a:rPr>
            <a:t>The business recorded 1,200</a:t>
          </a:r>
          <a:r>
            <a:rPr lang="en-US" sz="1600" b="0" i="1" baseline="0">
              <a:solidFill>
                <a:schemeClr val="tx1">
                  <a:lumMod val="75000"/>
                  <a:lumOff val="25000"/>
                </a:schemeClr>
              </a:solidFill>
            </a:rPr>
            <a:t> orders,ith a 40% cancellation rate. Although ,6,582 items ere added to cart, only 3535 progressed to orders, highlighting significant drop off in the purchasing journey. Improving cart conversion and reducing cancellations represent key opportunity for improving overall order performance.</a:t>
          </a:r>
          <a:endParaRPr lang="en-US" sz="1600" b="0" i="1">
            <a:solidFill>
              <a:schemeClr val="tx1">
                <a:lumMod val="75000"/>
                <a:lumOff val="25000"/>
              </a:schemeClr>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USER" refreshedDate="46287.814276157405" createdVersion="5" refreshedVersion="8" minRefreshableVersion="3" recordCount="0" supportSubquery="1" supportAdvancedDrill="1" xr:uid="{D2C5B003-07DC-4E93-99A0-8914B88BB005}">
  <cacheSource type="external" connectionId="3"/>
  <cacheFields count="2">
    <cacheField name="[Analysis-Dataset].[PaymentMethod].[PaymentMethod]" caption="PaymentMethod" numFmtId="0" hierarchy="7" level="1">
      <sharedItems count="5">
        <s v="Cash"/>
        <s v="Credit Card"/>
        <s v="Debit Card"/>
        <s v="Gift Card"/>
        <s v="Online"/>
      </sharedItems>
    </cacheField>
    <cacheField name="[Measures].[Lost Rate]" caption="Lost Rate" numFmtId="0" hierarchy="24" level="32767"/>
  </cacheFields>
  <cacheHierarchies count="32">
    <cacheHierarchy uniqueName="[Analysis-Dataset].[OrderID]" caption="OrderID" attribute="1" defaultMemberUniqueName="[Analysis-Dataset].[OrderID].[All]" allUniqueName="[Analysis-Dataset].[OrderID].[All]" dimensionUniqueName="[Analysis-Dataset]" displayFolder="" count="0" memberValueDatatype="130" unbalanced="0"/>
    <cacheHierarchy uniqueName="[Analysis-Dataset].[Date]" caption="Date" attribute="1" time="1" defaultMemberUniqueName="[Analysis-Dataset].[Date].[All]" allUniqueName="[Analysis-Dataset].[Date].[All]" dimensionUniqueName="[Analysis-Dataset]" displayFolder="" count="0" memberValueDatatype="7" unbalanced="0"/>
    <cacheHierarchy uniqueName="[Analysis-Dataset].[CustomerID]" caption="CustomerID" attribute="1" defaultMemberUniqueName="[Analysis-Dataset].[CustomerID].[All]" allUniqueName="[Analysis-Dataset].[CustomerID].[All]" dimensionUniqueName="[Analysis-Dataset]" displayFolder="" count="0" memberValueDatatype="130" unbalanced="0"/>
    <cacheHierarchy uniqueName="[Analysis-Dataset].[Product]" caption="Product" attribute="1" defaultMemberUniqueName="[Analysis-Dataset].[Product].[All]" allUniqueName="[Analysis-Dataset].[Product].[All]" dimensionUniqueName="[Analysis-Dataset]" displayFolder="" count="0" memberValueDatatype="130" unbalanced="0"/>
    <cacheHierarchy uniqueName="[Analysis-Dataset].[Quantity]" caption="Quantity" attribute="1" defaultMemberUniqueName="[Analysis-Dataset].[Quantity].[All]" allUniqueName="[Analysis-Dataset].[Quantity].[All]" dimensionUniqueName="[Analysis-Dataset]" displayFolder="" count="0" memberValueDatatype="20" unbalanced="0"/>
    <cacheHierarchy uniqueName="[Analysis-Dataset].[UnitPrice]" caption="UnitPrice" attribute="1" defaultMemberUniqueName="[Analysis-Dataset].[UnitPrice].[All]" allUniqueName="[Analysis-Dataset].[UnitPrice].[All]" dimensionUniqueName="[Analysis-Dataset]" displayFolder="" count="0" memberValueDatatype="5" unbalanced="0"/>
    <cacheHierarchy uniqueName="[Analysis-Dataset].[ShippingAddress]" caption="ShippingAddress" attribute="1" defaultMemberUniqueName="[Analysis-Dataset].[ShippingAddress].[All]" allUniqueName="[Analysis-Dataset].[ShippingAddress].[All]" dimensionUniqueName="[Analysis-Dataset]" displayFolder="" count="0" memberValueDatatype="130" unbalanced="0"/>
    <cacheHierarchy uniqueName="[Analysis-Dataset].[PaymentMethod]" caption="PaymentMethod" attribute="1" defaultMemberUniqueName="[Analysis-Dataset].[PaymentMethod].[All]" allUniqueName="[Analysis-Dataset].[PaymentMethod].[All]" dimensionUniqueName="[Analysis-Dataset]" displayFolder="" count="2" memberValueDatatype="130" unbalanced="0">
      <fieldsUsage count="2">
        <fieldUsage x="-1"/>
        <fieldUsage x="0"/>
      </fieldsUsage>
    </cacheHierarchy>
    <cacheHierarchy uniqueName="[Analysis-Dataset].[OrderStatus]" caption="OrderStatus" attribute="1" defaultMemberUniqueName="[Analysis-Dataset].[OrderStatus].[All]" allUniqueName="[Analysis-Dataset].[OrderStatus].[All]" dimensionUniqueName="[Analysis-Dataset]" displayFolder="" count="0" memberValueDatatype="130" unbalanced="0"/>
    <cacheHierarchy uniqueName="[Analysis-Dataset].[TrackingNumber]" caption="TrackingNumber" attribute="1" defaultMemberUniqueName="[Analysis-Dataset].[TrackingNumber].[All]" allUniqueName="[Analysis-Dataset].[TrackingNumber].[All]" dimensionUniqueName="[Analysis-Dataset]" displayFolder="" count="0" memberValueDatatype="130" unbalanced="0"/>
    <cacheHierarchy uniqueName="[Analysis-Dataset].[ItemsInCart]" caption="ItemsInCart" attribute="1" defaultMemberUniqueName="[Analysis-Dataset].[ItemsInCart].[All]" allUniqueName="[Analysis-Dataset].[ItemsInCart].[All]" dimensionUniqueName="[Analysis-Dataset]" displayFolder="" count="0" memberValueDatatype="20" unbalanced="0"/>
    <cacheHierarchy uniqueName="[Analysis-Dataset].[CouponCode]" caption="CouponCode" attribute="1" defaultMemberUniqueName="[Analysis-Dataset].[CouponCode].[All]" allUniqueName="[Analysis-Dataset].[CouponCode].[All]" dimensionUniqueName="[Analysis-Dataset]" displayFolder="" count="0" memberValueDatatype="130" unbalanced="0"/>
    <cacheHierarchy uniqueName="[Analysis-Dataset].[ReferralSource]" caption="ReferralSource" attribute="1" defaultMemberUniqueName="[Analysis-Dataset].[ReferralSource].[All]" allUniqueName="[Analysis-Dataset].[ReferralSource].[All]" dimensionUniqueName="[Analysis-Dataset]" displayFolder="" count="0" memberValueDatatype="130" unbalanced="0"/>
    <cacheHierarchy uniqueName="[Analysis-Dataset].[TotalPrice]" caption="TotalPrice" attribute="1" defaultMemberUniqueName="[Analysis-Dataset].[TotalPrice].[All]" allUniqueName="[Analysis-Dataset].[TotalPrice].[All]" dimensionUniqueName="[Analysis-Dataset]" displayFolder="" count="0" memberValueDatatype="5" unbalanced="0"/>
    <cacheHierarchy uniqueName="[Date-Table].[Date]" caption="Date" attribute="1" time="1" defaultMemberUniqueName="[Date-Table].[Date].[All]" allUniqueName="[Date-Table].[Date].[All]" dimensionUniqueName="[Date-Table]" displayFolder="" count="0" memberValueDatatype="7" unbalanced="0"/>
    <cacheHierarchy uniqueName="[Date-Table].[Month]" caption="Month" attribute="1" defaultMemberUniqueName="[Date-Table].[Month].[All]" allUniqueName="[Date-Table].[Month].[All]" dimensionUniqueName="[Date-Table]" displayFolder="" count="0" memberValueDatatype="20" unbalanced="0"/>
    <cacheHierarchy uniqueName="[Date-Table].[Month Name]" caption="Month Name" attribute="1" defaultMemberUniqueName="[Date-Table].[Month Name].[All]" allUniqueName="[Date-Table].[Month Name].[All]" dimensionUniqueName="[Date-Table]" displayFolder="" count="0" memberValueDatatype="130" unbalanced="0"/>
    <cacheHierarchy uniqueName="[Measures].[Gross Revenue]" caption="Gross Revenue" measure="1" displayFolder="" measureGroup="Analysis-Dataset" count="0"/>
    <cacheHierarchy uniqueName="[Measures].[Revenue Lost]" caption="Revenue Lost" measure="1" displayFolder="" measureGroup="Analysis-Dataset" count="0"/>
    <cacheHierarchy uniqueName="[Measures].[Revenue Pending]" caption="Revenue Pending" measure="1" displayFolder="" measureGroup="Analysis-Dataset" count="0"/>
    <cacheHierarchy uniqueName="[Measures].[Net Revenue]" caption="Net Revenue" measure="1" displayFolder="" measureGroup="Analysis-Dataset" count="0"/>
    <cacheHierarchy uniqueName="[Measures].[Net Revenue % of Gross]" caption="Net Revenue % of Gross" measure="1" displayFolder="" measureGroup="Analysis-Dataset" count="0"/>
    <cacheHierarchy uniqueName="[Measures].[Total Orders]" caption="Total Orders" measure="1" displayFolder="" measureGroup="Analysis-Dataset" count="0"/>
    <cacheHierarchy uniqueName="[Measures].[Lost Orders]" caption="Lost Orders" measure="1" displayFolder="" measureGroup="Analysis-Dataset" count="0"/>
    <cacheHierarchy uniqueName="[Measures].[Lost Rate]" caption="Lost Rate" measure="1" displayFolder="" measureGroup="Analysis-Dataset" count="0" oneField="1">
      <fieldsUsage count="1">
        <fieldUsage x="1"/>
      </fieldsUsage>
    </cacheHierarchy>
    <cacheHierarchy uniqueName="[Measures].[__XL_Count Analysis-Dataset]" caption="__XL_Count Analysis-Dataset" measure="1" displayFolder="" measureGroup="Analysis-Dataset" count="0" hidden="1"/>
    <cacheHierarchy uniqueName="[Measures].[__XL_Count Date-Table]" caption="__XL_Count Date-Table" measure="1" displayFolder="" measureGroup="Date-Table" count="0" hidden="1"/>
    <cacheHierarchy uniqueName="[Measures].[__No measures defined]" caption="__No measures defined" measure="1" displayFolder="" count="0" hidden="1"/>
    <cacheHierarchy uniqueName="[Measures].[Count of OrderID]" caption="Count of OrderID" measure="1" displayFolder="" measureGroup="Analysis-Dataset" count="0" hidden="1">
      <extLst>
        <ext xmlns:x15="http://schemas.microsoft.com/office/spreadsheetml/2010/11/main" uri="{B97F6D7D-B522-45F9-BDA1-12C45D357490}">
          <x15:cacheHierarchy aggregatedColumn="0"/>
        </ext>
      </extLst>
    </cacheHierarchy>
    <cacheHierarchy uniqueName="[Measures].[Sum of TotalPrice]" caption="Sum of TotalPrice" measure="1" displayFolder="" measureGroup="Analysis-Dataset"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Analysis-Dataset" count="0" hidden="1">
      <extLst>
        <ext xmlns:x15="http://schemas.microsoft.com/office/spreadsheetml/2010/11/main" uri="{B97F6D7D-B522-45F9-BDA1-12C45D357490}">
          <x15:cacheHierarchy aggregatedColumn="4"/>
        </ext>
      </extLst>
    </cacheHierarchy>
    <cacheHierarchy uniqueName="[Measures].[Sum of ItemsInCart]" caption="Sum of ItemsInCart" measure="1" displayFolder="" measureGroup="Analysis-Dataset" count="0" hidden="1">
      <extLst>
        <ext xmlns:x15="http://schemas.microsoft.com/office/spreadsheetml/2010/11/main" uri="{B97F6D7D-B522-45F9-BDA1-12C45D357490}">
          <x15:cacheHierarchy aggregatedColumn="10"/>
        </ext>
      </extLst>
    </cacheHierarchy>
  </cacheHierarchies>
  <kpis count="0"/>
  <dimensions count="3">
    <dimension name="Analysis-Dataset" uniqueName="[Analysis-Dataset]" caption="Analysis-Dataset"/>
    <dimension name="Date-Table" uniqueName="[Date-Table]" caption="Date-Table"/>
    <dimension measure="1" name="Measures" uniqueName="[Measures]" caption="Measures"/>
  </dimensions>
  <measureGroups count="2">
    <measureGroup name="Analysis-Dataset" caption="Analysis-Dataset"/>
    <measureGroup name="Date-Table" caption="Date-Table"/>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USER" refreshedDate="46288.305813194442" createdVersion="5" refreshedVersion="8" minRefreshableVersion="3" recordCount="0" supportSubquery="1" supportAdvancedDrill="1" xr:uid="{F5188A8F-9A0B-47CE-9133-08524E1134EE}">
  <cacheSource type="external" connectionId="3"/>
  <cacheFields count="5">
    <cacheField name="[Measures].[Total Orders]" caption="Total Orders" numFmtId="0" hierarchy="22" level="32767"/>
    <cacheField name="[Measures].[Lost Orders]" caption="Lost Orders" numFmtId="0" hierarchy="23" level="32767"/>
    <cacheField name="[Measures].[Lost Rate]" caption="Lost Rate" numFmtId="0" hierarchy="24" level="32767"/>
    <cacheField name="[Measures].[Sum of Quantity]" caption="Sum of Quantity" numFmtId="0" hierarchy="30" level="32767"/>
    <cacheField name="[Measures].[Sum of ItemsInCart]" caption="Sum of ItemsInCart" numFmtId="0" hierarchy="31" level="32767"/>
  </cacheFields>
  <cacheHierarchies count="32">
    <cacheHierarchy uniqueName="[Analysis-Dataset].[OrderID]" caption="OrderID" attribute="1" defaultMemberUniqueName="[Analysis-Dataset].[OrderID].[All]" allUniqueName="[Analysis-Dataset].[OrderID].[All]" dimensionUniqueName="[Analysis-Dataset]" displayFolder="" count="0" memberValueDatatype="130" unbalanced="0"/>
    <cacheHierarchy uniqueName="[Analysis-Dataset].[Date]" caption="Date" attribute="1" time="1" defaultMemberUniqueName="[Analysis-Dataset].[Date].[All]" allUniqueName="[Analysis-Dataset].[Date].[All]" dimensionUniqueName="[Analysis-Dataset]" displayFolder="" count="0" memberValueDatatype="7" unbalanced="0"/>
    <cacheHierarchy uniqueName="[Analysis-Dataset].[CustomerID]" caption="CustomerID" attribute="1" defaultMemberUniqueName="[Analysis-Dataset].[CustomerID].[All]" allUniqueName="[Analysis-Dataset].[CustomerID].[All]" dimensionUniqueName="[Analysis-Dataset]" displayFolder="" count="0" memberValueDatatype="130" unbalanced="0"/>
    <cacheHierarchy uniqueName="[Analysis-Dataset].[Product]" caption="Product" attribute="1" defaultMemberUniqueName="[Analysis-Dataset].[Product].[All]" allUniqueName="[Analysis-Dataset].[Product].[All]" dimensionUniqueName="[Analysis-Dataset]" displayFolder="" count="0" memberValueDatatype="130" unbalanced="0"/>
    <cacheHierarchy uniqueName="[Analysis-Dataset].[Quantity]" caption="Quantity" attribute="1" defaultMemberUniqueName="[Analysis-Dataset].[Quantity].[All]" allUniqueName="[Analysis-Dataset].[Quantity].[All]" dimensionUniqueName="[Analysis-Dataset]" displayFolder="" count="0" memberValueDatatype="20" unbalanced="0"/>
    <cacheHierarchy uniqueName="[Analysis-Dataset].[UnitPrice]" caption="UnitPrice" attribute="1" defaultMemberUniqueName="[Analysis-Dataset].[UnitPrice].[All]" allUniqueName="[Analysis-Dataset].[UnitPrice].[All]" dimensionUniqueName="[Analysis-Dataset]" displayFolder="" count="0" memberValueDatatype="5" unbalanced="0"/>
    <cacheHierarchy uniqueName="[Analysis-Dataset].[ShippingAddress]" caption="ShippingAddress" attribute="1" defaultMemberUniqueName="[Analysis-Dataset].[ShippingAddress].[All]" allUniqueName="[Analysis-Dataset].[ShippingAddress].[All]" dimensionUniqueName="[Analysis-Dataset]" displayFolder="" count="0" memberValueDatatype="130" unbalanced="0"/>
    <cacheHierarchy uniqueName="[Analysis-Dataset].[PaymentMethod]" caption="PaymentMethod" attribute="1" defaultMemberUniqueName="[Analysis-Dataset].[PaymentMethod].[All]" allUniqueName="[Analysis-Dataset].[PaymentMethod].[All]" dimensionUniqueName="[Analysis-Dataset]" displayFolder="" count="0" memberValueDatatype="130" unbalanced="0"/>
    <cacheHierarchy uniqueName="[Analysis-Dataset].[OrderStatus]" caption="OrderStatus" attribute="1" defaultMemberUniqueName="[Analysis-Dataset].[OrderStatus].[All]" allUniqueName="[Analysis-Dataset].[OrderStatus].[All]" dimensionUniqueName="[Analysis-Dataset]" displayFolder="" count="0" memberValueDatatype="130" unbalanced="0"/>
    <cacheHierarchy uniqueName="[Analysis-Dataset].[TrackingNumber]" caption="TrackingNumber" attribute="1" defaultMemberUniqueName="[Analysis-Dataset].[TrackingNumber].[All]" allUniqueName="[Analysis-Dataset].[TrackingNumber].[All]" dimensionUniqueName="[Analysis-Dataset]" displayFolder="" count="0" memberValueDatatype="130" unbalanced="0"/>
    <cacheHierarchy uniqueName="[Analysis-Dataset].[ItemsInCart]" caption="ItemsInCart" attribute="1" defaultMemberUniqueName="[Analysis-Dataset].[ItemsInCart].[All]" allUniqueName="[Analysis-Dataset].[ItemsInCart].[All]" dimensionUniqueName="[Analysis-Dataset]" displayFolder="" count="0" memberValueDatatype="20" unbalanced="0"/>
    <cacheHierarchy uniqueName="[Analysis-Dataset].[CouponCode]" caption="CouponCode" attribute="1" defaultMemberUniqueName="[Analysis-Dataset].[CouponCode].[All]" allUniqueName="[Analysis-Dataset].[CouponCode].[All]" dimensionUniqueName="[Analysis-Dataset]" displayFolder="" count="0" memberValueDatatype="130" unbalanced="0"/>
    <cacheHierarchy uniqueName="[Analysis-Dataset].[ReferralSource]" caption="ReferralSource" attribute="1" defaultMemberUniqueName="[Analysis-Dataset].[ReferralSource].[All]" allUniqueName="[Analysis-Dataset].[ReferralSource].[All]" dimensionUniqueName="[Analysis-Dataset]" displayFolder="" count="0" memberValueDatatype="130" unbalanced="0"/>
    <cacheHierarchy uniqueName="[Analysis-Dataset].[TotalPrice]" caption="TotalPrice" attribute="1" defaultMemberUniqueName="[Analysis-Dataset].[TotalPrice].[All]" allUniqueName="[Analysis-Dataset].[TotalPrice].[All]" dimensionUniqueName="[Analysis-Dataset]" displayFolder="" count="0" memberValueDatatype="5" unbalanced="0"/>
    <cacheHierarchy uniqueName="[Date-Table].[Date]" caption="Date" attribute="1" time="1" defaultMemberUniqueName="[Date-Table].[Date].[All]" allUniqueName="[Date-Table].[Date].[All]" dimensionUniqueName="[Date-Table]" displayFolder="" count="0" memberValueDatatype="7" unbalanced="0"/>
    <cacheHierarchy uniqueName="[Date-Table].[Month]" caption="Month" attribute="1" defaultMemberUniqueName="[Date-Table].[Month].[All]" allUniqueName="[Date-Table].[Month].[All]" dimensionUniqueName="[Date-Table]" displayFolder="" count="0" memberValueDatatype="20" unbalanced="0"/>
    <cacheHierarchy uniqueName="[Date-Table].[Month Name]" caption="Month Name" attribute="1" defaultMemberUniqueName="[Date-Table].[Month Name].[All]" allUniqueName="[Date-Table].[Month Name].[All]" dimensionUniqueName="[Date-Table]" displayFolder="" count="0" memberValueDatatype="130" unbalanced="0"/>
    <cacheHierarchy uniqueName="[Measures].[Gross Revenue]" caption="Gross Revenue" measure="1" displayFolder="" measureGroup="Analysis-Dataset" count="0"/>
    <cacheHierarchy uniqueName="[Measures].[Revenue Lost]" caption="Revenue Lost" measure="1" displayFolder="" measureGroup="Analysis-Dataset" count="0"/>
    <cacheHierarchy uniqueName="[Measures].[Revenue Pending]" caption="Revenue Pending" measure="1" displayFolder="" measureGroup="Analysis-Dataset" count="0"/>
    <cacheHierarchy uniqueName="[Measures].[Net Revenue]" caption="Net Revenue" measure="1" displayFolder="" measureGroup="Analysis-Dataset" count="0"/>
    <cacheHierarchy uniqueName="[Measures].[Net Revenue % of Gross]" caption="Net Revenue % of Gross" measure="1" displayFolder="" measureGroup="Analysis-Dataset" count="0"/>
    <cacheHierarchy uniqueName="[Measures].[Total Orders]" caption="Total Orders" measure="1" displayFolder="" measureGroup="Analysis-Dataset" count="0" oneField="1">
      <fieldsUsage count="1">
        <fieldUsage x="0"/>
      </fieldsUsage>
    </cacheHierarchy>
    <cacheHierarchy uniqueName="[Measures].[Lost Orders]" caption="Lost Orders" measure="1" displayFolder="" measureGroup="Analysis-Dataset" count="0" oneField="1">
      <fieldsUsage count="1">
        <fieldUsage x="1"/>
      </fieldsUsage>
    </cacheHierarchy>
    <cacheHierarchy uniqueName="[Measures].[Lost Rate]" caption="Lost Rate" measure="1" displayFolder="" measureGroup="Analysis-Dataset" count="0" oneField="1">
      <fieldsUsage count="1">
        <fieldUsage x="2"/>
      </fieldsUsage>
    </cacheHierarchy>
    <cacheHierarchy uniqueName="[Measures].[__XL_Count Analysis-Dataset]" caption="__XL_Count Analysis-Dataset" measure="1" displayFolder="" measureGroup="Analysis-Dataset" count="0" hidden="1"/>
    <cacheHierarchy uniqueName="[Measures].[__XL_Count Date-Table]" caption="__XL_Count Date-Table" measure="1" displayFolder="" measureGroup="Date-Table" count="0" hidden="1"/>
    <cacheHierarchy uniqueName="[Measures].[__No measures defined]" caption="__No measures defined" measure="1" displayFolder="" count="0" hidden="1"/>
    <cacheHierarchy uniqueName="[Measures].[Count of OrderID]" caption="Count of OrderID" measure="1" displayFolder="" measureGroup="Analysis-Dataset" count="0" hidden="1">
      <extLst>
        <ext xmlns:x15="http://schemas.microsoft.com/office/spreadsheetml/2010/11/main" uri="{B97F6D7D-B522-45F9-BDA1-12C45D357490}">
          <x15:cacheHierarchy aggregatedColumn="0"/>
        </ext>
      </extLst>
    </cacheHierarchy>
    <cacheHierarchy uniqueName="[Measures].[Sum of TotalPrice]" caption="Sum of TotalPrice" measure="1" displayFolder="" measureGroup="Analysis-Dataset"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Analysis-Dataset" count="0" oneField="1" hidden="1">
      <fieldsUsage count="1">
        <fieldUsage x="3"/>
      </fieldsUsage>
      <extLst>
        <ext xmlns:x15="http://schemas.microsoft.com/office/spreadsheetml/2010/11/main" uri="{B97F6D7D-B522-45F9-BDA1-12C45D357490}">
          <x15:cacheHierarchy aggregatedColumn="4"/>
        </ext>
      </extLst>
    </cacheHierarchy>
    <cacheHierarchy uniqueName="[Measures].[Sum of ItemsInCart]" caption="Sum of ItemsInCart" measure="1" displayFolder="" measureGroup="Analysis-Dataset" count="0" oneField="1" hidden="1">
      <fieldsUsage count="1">
        <fieldUsage x="4"/>
      </fieldsUsage>
      <extLst>
        <ext xmlns:x15="http://schemas.microsoft.com/office/spreadsheetml/2010/11/main" uri="{B97F6D7D-B522-45F9-BDA1-12C45D357490}">
          <x15:cacheHierarchy aggregatedColumn="10"/>
        </ext>
      </extLst>
    </cacheHierarchy>
  </cacheHierarchies>
  <kpis count="0"/>
  <dimensions count="3">
    <dimension name="Analysis-Dataset" uniqueName="[Analysis-Dataset]" caption="Analysis-Dataset"/>
    <dimension name="Date-Table" uniqueName="[Date-Table]" caption="Date-Table"/>
    <dimension measure="1" name="Measures" uniqueName="[Measures]" caption="Measures"/>
  </dimensions>
  <measureGroups count="2">
    <measureGroup name="Analysis-Dataset" caption="Analysis-Dataset"/>
    <measureGroup name="Date-Table" caption="Date-Table"/>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USER" refreshedDate="46288.619067824075" createdVersion="5" refreshedVersion="8" minRefreshableVersion="3" recordCount="0" supportSubquery="1" supportAdvancedDrill="1" xr:uid="{055EE44F-37B9-4AA5-A0E5-B70822B2ABD3}">
  <cacheSource type="external" connectionId="3"/>
  <cacheFields count="3">
    <cacheField name="[Analysis-Dataset].[Product].[Product]" caption="Product" numFmtId="0" hierarchy="3" level="1">
      <sharedItems count="7">
        <s v="Chair"/>
        <s v="Desk"/>
        <s v="Laptop"/>
        <s v="Monitor"/>
        <s v="Phone"/>
        <s v="Printer"/>
        <s v="Tablet"/>
      </sharedItems>
    </cacheField>
    <cacheField name="[Measures].[Sum of TotalPrice]" caption="Sum of TotalPrice" numFmtId="0" hierarchy="29" level="32767"/>
    <cacheField name="[Analysis-Dataset].[Date].[Date]" caption="Date" numFmtId="0" hierarchy="1" level="1">
      <sharedItems containsSemiMixedTypes="0" containsNonDate="0" containsString="0"/>
    </cacheField>
  </cacheFields>
  <cacheHierarchies count="32">
    <cacheHierarchy uniqueName="[Analysis-Dataset].[OrderID]" caption="OrderID" attribute="1" defaultMemberUniqueName="[Analysis-Dataset].[OrderID].[All]" allUniqueName="[Analysis-Dataset].[OrderID].[All]" dimensionUniqueName="[Analysis-Dataset]" displayFolder="" count="0" memberValueDatatype="130" unbalanced="0"/>
    <cacheHierarchy uniqueName="[Analysis-Dataset].[Date]" caption="Date" attribute="1" time="1" defaultMemberUniqueName="[Analysis-Dataset].[Date].[All]" allUniqueName="[Analysis-Dataset].[Date].[All]" dimensionUniqueName="[Analysis-Dataset]" displayFolder="" count="2" memberValueDatatype="7" unbalanced="0">
      <fieldsUsage count="2">
        <fieldUsage x="-1"/>
        <fieldUsage x="2"/>
      </fieldsUsage>
    </cacheHierarchy>
    <cacheHierarchy uniqueName="[Analysis-Dataset].[CustomerID]" caption="CustomerID" attribute="1" defaultMemberUniqueName="[Analysis-Dataset].[CustomerID].[All]" allUniqueName="[Analysis-Dataset].[CustomerID].[All]" dimensionUniqueName="[Analysis-Dataset]" displayFolder="" count="0" memberValueDatatype="130" unbalanced="0"/>
    <cacheHierarchy uniqueName="[Analysis-Dataset].[Product]" caption="Product" attribute="1" defaultMemberUniqueName="[Analysis-Dataset].[Product].[All]" allUniqueName="[Analysis-Dataset].[Product].[All]" dimensionUniqueName="[Analysis-Dataset]" displayFolder="" count="2" memberValueDatatype="130" unbalanced="0">
      <fieldsUsage count="2">
        <fieldUsage x="-1"/>
        <fieldUsage x="0"/>
      </fieldsUsage>
    </cacheHierarchy>
    <cacheHierarchy uniqueName="[Analysis-Dataset].[Quantity]" caption="Quantity" attribute="1" defaultMemberUniqueName="[Analysis-Dataset].[Quantity].[All]" allUniqueName="[Analysis-Dataset].[Quantity].[All]" dimensionUniqueName="[Analysis-Dataset]" displayFolder="" count="0" memberValueDatatype="20" unbalanced="0"/>
    <cacheHierarchy uniqueName="[Analysis-Dataset].[UnitPrice]" caption="UnitPrice" attribute="1" defaultMemberUniqueName="[Analysis-Dataset].[UnitPrice].[All]" allUniqueName="[Analysis-Dataset].[UnitPrice].[All]" dimensionUniqueName="[Analysis-Dataset]" displayFolder="" count="0" memberValueDatatype="5" unbalanced="0"/>
    <cacheHierarchy uniqueName="[Analysis-Dataset].[ShippingAddress]" caption="ShippingAddress" attribute="1" defaultMemberUniqueName="[Analysis-Dataset].[ShippingAddress].[All]" allUniqueName="[Analysis-Dataset].[ShippingAddress].[All]" dimensionUniqueName="[Analysis-Dataset]" displayFolder="" count="0" memberValueDatatype="130" unbalanced="0"/>
    <cacheHierarchy uniqueName="[Analysis-Dataset].[PaymentMethod]" caption="PaymentMethod" attribute="1" defaultMemberUniqueName="[Analysis-Dataset].[PaymentMethod].[All]" allUniqueName="[Analysis-Dataset].[PaymentMethod].[All]" dimensionUniqueName="[Analysis-Dataset]" displayFolder="" count="0" memberValueDatatype="130" unbalanced="0"/>
    <cacheHierarchy uniqueName="[Analysis-Dataset].[OrderStatus]" caption="OrderStatus" attribute="1" defaultMemberUniqueName="[Analysis-Dataset].[OrderStatus].[All]" allUniqueName="[Analysis-Dataset].[OrderStatus].[All]" dimensionUniqueName="[Analysis-Dataset]" displayFolder="" count="0" memberValueDatatype="130" unbalanced="0"/>
    <cacheHierarchy uniqueName="[Analysis-Dataset].[TrackingNumber]" caption="TrackingNumber" attribute="1" defaultMemberUniqueName="[Analysis-Dataset].[TrackingNumber].[All]" allUniqueName="[Analysis-Dataset].[TrackingNumber].[All]" dimensionUniqueName="[Analysis-Dataset]" displayFolder="" count="0" memberValueDatatype="130" unbalanced="0"/>
    <cacheHierarchy uniqueName="[Analysis-Dataset].[ItemsInCart]" caption="ItemsInCart" attribute="1" defaultMemberUniqueName="[Analysis-Dataset].[ItemsInCart].[All]" allUniqueName="[Analysis-Dataset].[ItemsInCart].[All]" dimensionUniqueName="[Analysis-Dataset]" displayFolder="" count="0" memberValueDatatype="20" unbalanced="0"/>
    <cacheHierarchy uniqueName="[Analysis-Dataset].[CouponCode]" caption="CouponCode" attribute="1" defaultMemberUniqueName="[Analysis-Dataset].[CouponCode].[All]" allUniqueName="[Analysis-Dataset].[CouponCode].[All]" dimensionUniqueName="[Analysis-Dataset]" displayFolder="" count="0" memberValueDatatype="130" unbalanced="0"/>
    <cacheHierarchy uniqueName="[Analysis-Dataset].[ReferralSource]" caption="ReferralSource" attribute="1" defaultMemberUniqueName="[Analysis-Dataset].[ReferralSource].[All]" allUniqueName="[Analysis-Dataset].[ReferralSource].[All]" dimensionUniqueName="[Analysis-Dataset]" displayFolder="" count="0" memberValueDatatype="130" unbalanced="0"/>
    <cacheHierarchy uniqueName="[Analysis-Dataset].[TotalPrice]" caption="TotalPrice" attribute="1" defaultMemberUniqueName="[Analysis-Dataset].[TotalPrice].[All]" allUniqueName="[Analysis-Dataset].[TotalPrice].[All]" dimensionUniqueName="[Analysis-Dataset]" displayFolder="" count="0" memberValueDatatype="5" unbalanced="0"/>
    <cacheHierarchy uniqueName="[Date-Table].[Date]" caption="Date" attribute="1" time="1" defaultMemberUniqueName="[Date-Table].[Date].[All]" allUniqueName="[Date-Table].[Date].[All]" dimensionUniqueName="[Date-Table]" displayFolder="" count="0" memberValueDatatype="7" unbalanced="0"/>
    <cacheHierarchy uniqueName="[Date-Table].[Month]" caption="Month" attribute="1" defaultMemberUniqueName="[Date-Table].[Month].[All]" allUniqueName="[Date-Table].[Month].[All]" dimensionUniqueName="[Date-Table]" displayFolder="" count="0" memberValueDatatype="20" unbalanced="0"/>
    <cacheHierarchy uniqueName="[Date-Table].[Month Name]" caption="Month Name" attribute="1" defaultMemberUniqueName="[Date-Table].[Month Name].[All]" allUniqueName="[Date-Table].[Month Name].[All]" dimensionUniqueName="[Date-Table]" displayFolder="" count="0" memberValueDatatype="130" unbalanced="0"/>
    <cacheHierarchy uniqueName="[Measures].[Gross Revenue]" caption="Gross Revenue" measure="1" displayFolder="" measureGroup="Analysis-Dataset" count="0"/>
    <cacheHierarchy uniqueName="[Measures].[Revenue Lost]" caption="Revenue Lost" measure="1" displayFolder="" measureGroup="Analysis-Dataset" count="0"/>
    <cacheHierarchy uniqueName="[Measures].[Revenue Pending]" caption="Revenue Pending" measure="1" displayFolder="" measureGroup="Analysis-Dataset" count="0"/>
    <cacheHierarchy uniqueName="[Measures].[Net Revenue]" caption="Net Revenue" measure="1" displayFolder="" measureGroup="Analysis-Dataset" count="0"/>
    <cacheHierarchy uniqueName="[Measures].[Net Revenue % of Gross]" caption="Net Revenue % of Gross" measure="1" displayFolder="" measureGroup="Analysis-Dataset" count="0"/>
    <cacheHierarchy uniqueName="[Measures].[Total Orders]" caption="Total Orders" measure="1" displayFolder="" measureGroup="Analysis-Dataset" count="0"/>
    <cacheHierarchy uniqueName="[Measures].[Lost Orders]" caption="Lost Orders" measure="1" displayFolder="" measureGroup="Analysis-Dataset" count="0"/>
    <cacheHierarchy uniqueName="[Measures].[Lost Rate]" caption="Lost Rate" measure="1" displayFolder="" measureGroup="Analysis-Dataset" count="0"/>
    <cacheHierarchy uniqueName="[Measures].[__XL_Count Analysis-Dataset]" caption="__XL_Count Analysis-Dataset" measure="1" displayFolder="" measureGroup="Analysis-Dataset" count="0" hidden="1"/>
    <cacheHierarchy uniqueName="[Measures].[__XL_Count Date-Table]" caption="__XL_Count Date-Table" measure="1" displayFolder="" measureGroup="Date-Table" count="0" hidden="1"/>
    <cacheHierarchy uniqueName="[Measures].[__No measures defined]" caption="__No measures defined" measure="1" displayFolder="" count="0" hidden="1"/>
    <cacheHierarchy uniqueName="[Measures].[Count of OrderID]" caption="Count of OrderID" measure="1" displayFolder="" measureGroup="Analysis-Dataset" count="0" hidden="1">
      <extLst>
        <ext xmlns:x15="http://schemas.microsoft.com/office/spreadsheetml/2010/11/main" uri="{B97F6D7D-B522-45F9-BDA1-12C45D357490}">
          <x15:cacheHierarchy aggregatedColumn="0"/>
        </ext>
      </extLst>
    </cacheHierarchy>
    <cacheHierarchy uniqueName="[Measures].[Sum of TotalPrice]" caption="Sum of TotalPrice" measure="1" displayFolder="" measureGroup="Analysis-Dataset"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Quantity]" caption="Sum of Quantity" measure="1" displayFolder="" measureGroup="Analysis-Dataset" count="0" hidden="1">
      <extLst>
        <ext xmlns:x15="http://schemas.microsoft.com/office/spreadsheetml/2010/11/main" uri="{B97F6D7D-B522-45F9-BDA1-12C45D357490}">
          <x15:cacheHierarchy aggregatedColumn="4"/>
        </ext>
      </extLst>
    </cacheHierarchy>
    <cacheHierarchy uniqueName="[Measures].[Sum of ItemsInCart]" caption="Sum of ItemsInCart" measure="1" displayFolder="" measureGroup="Analysis-Dataset" count="0" hidden="1">
      <extLst>
        <ext xmlns:x15="http://schemas.microsoft.com/office/spreadsheetml/2010/11/main" uri="{B97F6D7D-B522-45F9-BDA1-12C45D357490}">
          <x15:cacheHierarchy aggregatedColumn="10"/>
        </ext>
      </extLst>
    </cacheHierarchy>
  </cacheHierarchies>
  <kpis count="0"/>
  <dimensions count="3">
    <dimension name="Analysis-Dataset" uniqueName="[Analysis-Dataset]" caption="Analysis-Dataset"/>
    <dimension name="Date-Table" uniqueName="[Date-Table]" caption="Date-Table"/>
    <dimension measure="1" name="Measures" uniqueName="[Measures]" caption="Measures"/>
  </dimensions>
  <measureGroups count="2">
    <measureGroup name="Analysis-Dataset" caption="Analysis-Dataset"/>
    <measureGroup name="Date-Table" caption="Date-Table"/>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USER" refreshedDate="46288.61906863426" createdVersion="5" refreshedVersion="8" minRefreshableVersion="3" recordCount="0" supportSubquery="1" supportAdvancedDrill="1" xr:uid="{F098BDB9-8F1F-4779-B2F9-6BDF9D217819}">
  <cacheSource type="external" connectionId="3"/>
  <cacheFields count="3">
    <cacheField name="[Analysis-Dataset].[OrderStatus].[OrderStatus]" caption="OrderStatus" numFmtId="0" hierarchy="8" level="1">
      <sharedItems count="5">
        <s v="Cancelled"/>
        <s v="Delivered"/>
        <s v="Pending"/>
        <s v="Returned"/>
        <s v="Shipped"/>
      </sharedItems>
    </cacheField>
    <cacheField name="[Measures].[Count of OrderID]" caption="Count of OrderID" numFmtId="0" hierarchy="28" level="32767"/>
    <cacheField name="[Analysis-Dataset].[Date].[Date]" caption="Date" numFmtId="0" hierarchy="1" level="1">
      <sharedItems containsSemiMixedTypes="0" containsNonDate="0" containsString="0"/>
    </cacheField>
  </cacheFields>
  <cacheHierarchies count="32">
    <cacheHierarchy uniqueName="[Analysis-Dataset].[OrderID]" caption="OrderID" attribute="1" defaultMemberUniqueName="[Analysis-Dataset].[OrderID].[All]" allUniqueName="[Analysis-Dataset].[OrderID].[All]" dimensionUniqueName="[Analysis-Dataset]" displayFolder="" count="0" memberValueDatatype="130" unbalanced="0"/>
    <cacheHierarchy uniqueName="[Analysis-Dataset].[Date]" caption="Date" attribute="1" time="1" defaultMemberUniqueName="[Analysis-Dataset].[Date].[All]" allUniqueName="[Analysis-Dataset].[Date].[All]" dimensionUniqueName="[Analysis-Dataset]" displayFolder="" count="2" memberValueDatatype="7" unbalanced="0">
      <fieldsUsage count="2">
        <fieldUsage x="-1"/>
        <fieldUsage x="2"/>
      </fieldsUsage>
    </cacheHierarchy>
    <cacheHierarchy uniqueName="[Analysis-Dataset].[CustomerID]" caption="CustomerID" attribute="1" defaultMemberUniqueName="[Analysis-Dataset].[CustomerID].[All]" allUniqueName="[Analysis-Dataset].[CustomerID].[All]" dimensionUniqueName="[Analysis-Dataset]" displayFolder="" count="0" memberValueDatatype="130" unbalanced="0"/>
    <cacheHierarchy uniqueName="[Analysis-Dataset].[Product]" caption="Product" attribute="1" defaultMemberUniqueName="[Analysis-Dataset].[Product].[All]" allUniqueName="[Analysis-Dataset].[Product].[All]" dimensionUniqueName="[Analysis-Dataset]" displayFolder="" count="0" memberValueDatatype="130" unbalanced="0"/>
    <cacheHierarchy uniqueName="[Analysis-Dataset].[Quantity]" caption="Quantity" attribute="1" defaultMemberUniqueName="[Analysis-Dataset].[Quantity].[All]" allUniqueName="[Analysis-Dataset].[Quantity].[All]" dimensionUniqueName="[Analysis-Dataset]" displayFolder="" count="0" memberValueDatatype="20" unbalanced="0"/>
    <cacheHierarchy uniqueName="[Analysis-Dataset].[UnitPrice]" caption="UnitPrice" attribute="1" defaultMemberUniqueName="[Analysis-Dataset].[UnitPrice].[All]" allUniqueName="[Analysis-Dataset].[UnitPrice].[All]" dimensionUniqueName="[Analysis-Dataset]" displayFolder="" count="0" memberValueDatatype="5" unbalanced="0"/>
    <cacheHierarchy uniqueName="[Analysis-Dataset].[ShippingAddress]" caption="ShippingAddress" attribute="1" defaultMemberUniqueName="[Analysis-Dataset].[ShippingAddress].[All]" allUniqueName="[Analysis-Dataset].[ShippingAddress].[All]" dimensionUniqueName="[Analysis-Dataset]" displayFolder="" count="0" memberValueDatatype="130" unbalanced="0"/>
    <cacheHierarchy uniqueName="[Analysis-Dataset].[PaymentMethod]" caption="PaymentMethod" attribute="1" defaultMemberUniqueName="[Analysis-Dataset].[PaymentMethod].[All]" allUniqueName="[Analysis-Dataset].[PaymentMethod].[All]" dimensionUniqueName="[Analysis-Dataset]" displayFolder="" count="0" memberValueDatatype="130" unbalanced="0"/>
    <cacheHierarchy uniqueName="[Analysis-Dataset].[OrderStatus]" caption="OrderStatus" attribute="1" defaultMemberUniqueName="[Analysis-Dataset].[OrderStatus].[All]" allUniqueName="[Analysis-Dataset].[OrderStatus].[All]" dimensionUniqueName="[Analysis-Dataset]" displayFolder="" count="2" memberValueDatatype="130" unbalanced="0">
      <fieldsUsage count="2">
        <fieldUsage x="-1"/>
        <fieldUsage x="0"/>
      </fieldsUsage>
    </cacheHierarchy>
    <cacheHierarchy uniqueName="[Analysis-Dataset].[TrackingNumber]" caption="TrackingNumber" attribute="1" defaultMemberUniqueName="[Analysis-Dataset].[TrackingNumber].[All]" allUniqueName="[Analysis-Dataset].[TrackingNumber].[All]" dimensionUniqueName="[Analysis-Dataset]" displayFolder="" count="0" memberValueDatatype="130" unbalanced="0"/>
    <cacheHierarchy uniqueName="[Analysis-Dataset].[ItemsInCart]" caption="ItemsInCart" attribute="1" defaultMemberUniqueName="[Analysis-Dataset].[ItemsInCart].[All]" allUniqueName="[Analysis-Dataset].[ItemsInCart].[All]" dimensionUniqueName="[Analysis-Dataset]" displayFolder="" count="0" memberValueDatatype="20" unbalanced="0"/>
    <cacheHierarchy uniqueName="[Analysis-Dataset].[CouponCode]" caption="CouponCode" attribute="1" defaultMemberUniqueName="[Analysis-Dataset].[CouponCode].[All]" allUniqueName="[Analysis-Dataset].[CouponCode].[All]" dimensionUniqueName="[Analysis-Dataset]" displayFolder="" count="0" memberValueDatatype="130" unbalanced="0"/>
    <cacheHierarchy uniqueName="[Analysis-Dataset].[ReferralSource]" caption="ReferralSource" attribute="1" defaultMemberUniqueName="[Analysis-Dataset].[ReferralSource].[All]" allUniqueName="[Analysis-Dataset].[ReferralSource].[All]" dimensionUniqueName="[Analysis-Dataset]" displayFolder="" count="0" memberValueDatatype="130" unbalanced="0"/>
    <cacheHierarchy uniqueName="[Analysis-Dataset].[TotalPrice]" caption="TotalPrice" attribute="1" defaultMemberUniqueName="[Analysis-Dataset].[TotalPrice].[All]" allUniqueName="[Analysis-Dataset].[TotalPrice].[All]" dimensionUniqueName="[Analysis-Dataset]" displayFolder="" count="0" memberValueDatatype="5" unbalanced="0"/>
    <cacheHierarchy uniqueName="[Date-Table].[Date]" caption="Date" attribute="1" time="1" defaultMemberUniqueName="[Date-Table].[Date].[All]" allUniqueName="[Date-Table].[Date].[All]" dimensionUniqueName="[Date-Table]" displayFolder="" count="0" memberValueDatatype="7" unbalanced="0"/>
    <cacheHierarchy uniqueName="[Date-Table].[Month]" caption="Month" attribute="1" defaultMemberUniqueName="[Date-Table].[Month].[All]" allUniqueName="[Date-Table].[Month].[All]" dimensionUniqueName="[Date-Table]" displayFolder="" count="0" memberValueDatatype="20" unbalanced="0"/>
    <cacheHierarchy uniqueName="[Date-Table].[Month Name]" caption="Month Name" attribute="1" defaultMemberUniqueName="[Date-Table].[Month Name].[All]" allUniqueName="[Date-Table].[Month Name].[All]" dimensionUniqueName="[Date-Table]" displayFolder="" count="0" memberValueDatatype="130" unbalanced="0"/>
    <cacheHierarchy uniqueName="[Measures].[Gross Revenue]" caption="Gross Revenue" measure="1" displayFolder="" measureGroup="Analysis-Dataset" count="0"/>
    <cacheHierarchy uniqueName="[Measures].[Revenue Lost]" caption="Revenue Lost" measure="1" displayFolder="" measureGroup="Analysis-Dataset" count="0"/>
    <cacheHierarchy uniqueName="[Measures].[Revenue Pending]" caption="Revenue Pending" measure="1" displayFolder="" measureGroup="Analysis-Dataset" count="0"/>
    <cacheHierarchy uniqueName="[Measures].[Net Revenue]" caption="Net Revenue" measure="1" displayFolder="" measureGroup="Analysis-Dataset" count="0"/>
    <cacheHierarchy uniqueName="[Measures].[Net Revenue % of Gross]" caption="Net Revenue % of Gross" measure="1" displayFolder="" measureGroup="Analysis-Dataset" count="0"/>
    <cacheHierarchy uniqueName="[Measures].[Total Orders]" caption="Total Orders" measure="1" displayFolder="" measureGroup="Analysis-Dataset" count="0"/>
    <cacheHierarchy uniqueName="[Measures].[Lost Orders]" caption="Lost Orders" measure="1" displayFolder="" measureGroup="Analysis-Dataset" count="0"/>
    <cacheHierarchy uniqueName="[Measures].[Lost Rate]" caption="Lost Rate" measure="1" displayFolder="" measureGroup="Analysis-Dataset" count="0"/>
    <cacheHierarchy uniqueName="[Measures].[__XL_Count Analysis-Dataset]" caption="__XL_Count Analysis-Dataset" measure="1" displayFolder="" measureGroup="Analysis-Dataset" count="0" hidden="1"/>
    <cacheHierarchy uniqueName="[Measures].[__XL_Count Date-Table]" caption="__XL_Count Date-Table" measure="1" displayFolder="" measureGroup="Date-Table" count="0" hidden="1"/>
    <cacheHierarchy uniqueName="[Measures].[__No measures defined]" caption="__No measures defined" measure="1" displayFolder="" count="0" hidden="1"/>
    <cacheHierarchy uniqueName="[Measures].[Count of OrderID]" caption="Count of OrderID" measure="1" displayFolder="" measureGroup="Analysis-Dataset"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TotalPrice]" caption="Sum of TotalPrice" measure="1" displayFolder="" measureGroup="Analysis-Dataset"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Analysis-Dataset" count="0" hidden="1">
      <extLst>
        <ext xmlns:x15="http://schemas.microsoft.com/office/spreadsheetml/2010/11/main" uri="{B97F6D7D-B522-45F9-BDA1-12C45D357490}">
          <x15:cacheHierarchy aggregatedColumn="4"/>
        </ext>
      </extLst>
    </cacheHierarchy>
    <cacheHierarchy uniqueName="[Measures].[Sum of ItemsInCart]" caption="Sum of ItemsInCart" measure="1" displayFolder="" measureGroup="Analysis-Dataset" count="0" hidden="1">
      <extLst>
        <ext xmlns:x15="http://schemas.microsoft.com/office/spreadsheetml/2010/11/main" uri="{B97F6D7D-B522-45F9-BDA1-12C45D357490}">
          <x15:cacheHierarchy aggregatedColumn="10"/>
        </ext>
      </extLst>
    </cacheHierarchy>
  </cacheHierarchies>
  <kpis count="0"/>
  <dimensions count="3">
    <dimension name="Analysis-Dataset" uniqueName="[Analysis-Dataset]" caption="Analysis-Dataset"/>
    <dimension name="Date-Table" uniqueName="[Date-Table]" caption="Date-Table"/>
    <dimension measure="1" name="Measures" uniqueName="[Measures]" caption="Measures"/>
  </dimensions>
  <measureGroups count="2">
    <measureGroup name="Analysis-Dataset" caption="Analysis-Dataset"/>
    <measureGroup name="Date-Table" caption="Date-Table"/>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USER" refreshedDate="46288.619069097222" createdVersion="5" refreshedVersion="8" minRefreshableVersion="3" recordCount="0" supportSubquery="1" supportAdvancedDrill="1" xr:uid="{FD489B80-FD1D-400F-B2EE-3CD38AE33D5D}">
  <cacheSource type="external" connectionId="3"/>
  <cacheFields count="3">
    <cacheField name="[Analysis-Dataset].[PaymentMethod].[PaymentMethod]" caption="PaymentMethod" numFmtId="0" hierarchy="7" level="1">
      <sharedItems count="5">
        <s v="Cash"/>
        <s v="Credit Card"/>
        <s v="Debit Card"/>
        <s v="Gift Card"/>
        <s v="Online"/>
      </sharedItems>
    </cacheField>
    <cacheField name="[Measures].[Sum of TotalPrice]" caption="Sum of TotalPrice" numFmtId="0" hierarchy="29" level="32767"/>
    <cacheField name="[Analysis-Dataset].[Date].[Date]" caption="Date" numFmtId="0" hierarchy="1" level="1">
      <sharedItems containsSemiMixedTypes="0" containsNonDate="0" containsString="0"/>
    </cacheField>
  </cacheFields>
  <cacheHierarchies count="32">
    <cacheHierarchy uniqueName="[Analysis-Dataset].[OrderID]" caption="OrderID" attribute="1" defaultMemberUniqueName="[Analysis-Dataset].[OrderID].[All]" allUniqueName="[Analysis-Dataset].[OrderID].[All]" dimensionUniqueName="[Analysis-Dataset]" displayFolder="" count="0" memberValueDatatype="130" unbalanced="0"/>
    <cacheHierarchy uniqueName="[Analysis-Dataset].[Date]" caption="Date" attribute="1" time="1" defaultMemberUniqueName="[Analysis-Dataset].[Date].[All]" allUniqueName="[Analysis-Dataset].[Date].[All]" dimensionUniqueName="[Analysis-Dataset]" displayFolder="" count="2" memberValueDatatype="7" unbalanced="0">
      <fieldsUsage count="2">
        <fieldUsage x="-1"/>
        <fieldUsage x="2"/>
      </fieldsUsage>
    </cacheHierarchy>
    <cacheHierarchy uniqueName="[Analysis-Dataset].[CustomerID]" caption="CustomerID" attribute="1" defaultMemberUniqueName="[Analysis-Dataset].[CustomerID].[All]" allUniqueName="[Analysis-Dataset].[CustomerID].[All]" dimensionUniqueName="[Analysis-Dataset]" displayFolder="" count="0" memberValueDatatype="130" unbalanced="0"/>
    <cacheHierarchy uniqueName="[Analysis-Dataset].[Product]" caption="Product" attribute="1" defaultMemberUniqueName="[Analysis-Dataset].[Product].[All]" allUniqueName="[Analysis-Dataset].[Product].[All]" dimensionUniqueName="[Analysis-Dataset]" displayFolder="" count="0" memberValueDatatype="130" unbalanced="0"/>
    <cacheHierarchy uniqueName="[Analysis-Dataset].[Quantity]" caption="Quantity" attribute="1" defaultMemberUniqueName="[Analysis-Dataset].[Quantity].[All]" allUniqueName="[Analysis-Dataset].[Quantity].[All]" dimensionUniqueName="[Analysis-Dataset]" displayFolder="" count="0" memberValueDatatype="20" unbalanced="0"/>
    <cacheHierarchy uniqueName="[Analysis-Dataset].[UnitPrice]" caption="UnitPrice" attribute="1" defaultMemberUniqueName="[Analysis-Dataset].[UnitPrice].[All]" allUniqueName="[Analysis-Dataset].[UnitPrice].[All]" dimensionUniqueName="[Analysis-Dataset]" displayFolder="" count="0" memberValueDatatype="5" unbalanced="0"/>
    <cacheHierarchy uniqueName="[Analysis-Dataset].[ShippingAddress]" caption="ShippingAddress" attribute="1" defaultMemberUniqueName="[Analysis-Dataset].[ShippingAddress].[All]" allUniqueName="[Analysis-Dataset].[ShippingAddress].[All]" dimensionUniqueName="[Analysis-Dataset]" displayFolder="" count="0" memberValueDatatype="130" unbalanced="0"/>
    <cacheHierarchy uniqueName="[Analysis-Dataset].[PaymentMethod]" caption="PaymentMethod" attribute="1" defaultMemberUniqueName="[Analysis-Dataset].[PaymentMethod].[All]" allUniqueName="[Analysis-Dataset].[PaymentMethod].[All]" dimensionUniqueName="[Analysis-Dataset]" displayFolder="" count="2" memberValueDatatype="130" unbalanced="0">
      <fieldsUsage count="2">
        <fieldUsage x="-1"/>
        <fieldUsage x="0"/>
      </fieldsUsage>
    </cacheHierarchy>
    <cacheHierarchy uniqueName="[Analysis-Dataset].[OrderStatus]" caption="OrderStatus" attribute="1" defaultMemberUniqueName="[Analysis-Dataset].[OrderStatus].[All]" allUniqueName="[Analysis-Dataset].[OrderStatus].[All]" dimensionUniqueName="[Analysis-Dataset]" displayFolder="" count="0" memberValueDatatype="130" unbalanced="0"/>
    <cacheHierarchy uniqueName="[Analysis-Dataset].[TrackingNumber]" caption="TrackingNumber" attribute="1" defaultMemberUniqueName="[Analysis-Dataset].[TrackingNumber].[All]" allUniqueName="[Analysis-Dataset].[TrackingNumber].[All]" dimensionUniqueName="[Analysis-Dataset]" displayFolder="" count="0" memberValueDatatype="130" unbalanced="0"/>
    <cacheHierarchy uniqueName="[Analysis-Dataset].[ItemsInCart]" caption="ItemsInCart" attribute="1" defaultMemberUniqueName="[Analysis-Dataset].[ItemsInCart].[All]" allUniqueName="[Analysis-Dataset].[ItemsInCart].[All]" dimensionUniqueName="[Analysis-Dataset]" displayFolder="" count="0" memberValueDatatype="20" unbalanced="0"/>
    <cacheHierarchy uniqueName="[Analysis-Dataset].[CouponCode]" caption="CouponCode" attribute="1" defaultMemberUniqueName="[Analysis-Dataset].[CouponCode].[All]" allUniqueName="[Analysis-Dataset].[CouponCode].[All]" dimensionUniqueName="[Analysis-Dataset]" displayFolder="" count="0" memberValueDatatype="130" unbalanced="0"/>
    <cacheHierarchy uniqueName="[Analysis-Dataset].[ReferralSource]" caption="ReferralSource" attribute="1" defaultMemberUniqueName="[Analysis-Dataset].[ReferralSource].[All]" allUniqueName="[Analysis-Dataset].[ReferralSource].[All]" dimensionUniqueName="[Analysis-Dataset]" displayFolder="" count="0" memberValueDatatype="130" unbalanced="0"/>
    <cacheHierarchy uniqueName="[Analysis-Dataset].[TotalPrice]" caption="TotalPrice" attribute="1" defaultMemberUniqueName="[Analysis-Dataset].[TotalPrice].[All]" allUniqueName="[Analysis-Dataset].[TotalPrice].[All]" dimensionUniqueName="[Analysis-Dataset]" displayFolder="" count="0" memberValueDatatype="5" unbalanced="0"/>
    <cacheHierarchy uniqueName="[Date-Table].[Date]" caption="Date" attribute="1" time="1" defaultMemberUniqueName="[Date-Table].[Date].[All]" allUniqueName="[Date-Table].[Date].[All]" dimensionUniqueName="[Date-Table]" displayFolder="" count="0" memberValueDatatype="7" unbalanced="0"/>
    <cacheHierarchy uniqueName="[Date-Table].[Month]" caption="Month" attribute="1" defaultMemberUniqueName="[Date-Table].[Month].[All]" allUniqueName="[Date-Table].[Month].[All]" dimensionUniqueName="[Date-Table]" displayFolder="" count="0" memberValueDatatype="20" unbalanced="0"/>
    <cacheHierarchy uniqueName="[Date-Table].[Month Name]" caption="Month Name" attribute="1" defaultMemberUniqueName="[Date-Table].[Month Name].[All]" allUniqueName="[Date-Table].[Month Name].[All]" dimensionUniqueName="[Date-Table]" displayFolder="" count="0" memberValueDatatype="130" unbalanced="0"/>
    <cacheHierarchy uniqueName="[Measures].[Gross Revenue]" caption="Gross Revenue" measure="1" displayFolder="" measureGroup="Analysis-Dataset" count="0"/>
    <cacheHierarchy uniqueName="[Measures].[Revenue Lost]" caption="Revenue Lost" measure="1" displayFolder="" measureGroup="Analysis-Dataset" count="0"/>
    <cacheHierarchy uniqueName="[Measures].[Revenue Pending]" caption="Revenue Pending" measure="1" displayFolder="" measureGroup="Analysis-Dataset" count="0"/>
    <cacheHierarchy uniqueName="[Measures].[Net Revenue]" caption="Net Revenue" measure="1" displayFolder="" measureGroup="Analysis-Dataset" count="0"/>
    <cacheHierarchy uniqueName="[Measures].[Net Revenue % of Gross]" caption="Net Revenue % of Gross" measure="1" displayFolder="" measureGroup="Analysis-Dataset" count="0"/>
    <cacheHierarchy uniqueName="[Measures].[Total Orders]" caption="Total Orders" measure="1" displayFolder="" measureGroup="Analysis-Dataset" count="0"/>
    <cacheHierarchy uniqueName="[Measures].[Lost Orders]" caption="Lost Orders" measure="1" displayFolder="" measureGroup="Analysis-Dataset" count="0"/>
    <cacheHierarchy uniqueName="[Measures].[Lost Rate]" caption="Lost Rate" measure="1" displayFolder="" measureGroup="Analysis-Dataset" count="0"/>
    <cacheHierarchy uniqueName="[Measures].[__XL_Count Analysis-Dataset]" caption="__XL_Count Analysis-Dataset" measure="1" displayFolder="" measureGroup="Analysis-Dataset" count="0" hidden="1"/>
    <cacheHierarchy uniqueName="[Measures].[__XL_Count Date-Table]" caption="__XL_Count Date-Table" measure="1" displayFolder="" measureGroup="Date-Table" count="0" hidden="1"/>
    <cacheHierarchy uniqueName="[Measures].[__No measures defined]" caption="__No measures defined" measure="1" displayFolder="" count="0" hidden="1"/>
    <cacheHierarchy uniqueName="[Measures].[Count of OrderID]" caption="Count of OrderID" measure="1" displayFolder="" measureGroup="Analysis-Dataset" count="0" hidden="1">
      <extLst>
        <ext xmlns:x15="http://schemas.microsoft.com/office/spreadsheetml/2010/11/main" uri="{B97F6D7D-B522-45F9-BDA1-12C45D357490}">
          <x15:cacheHierarchy aggregatedColumn="0"/>
        </ext>
      </extLst>
    </cacheHierarchy>
    <cacheHierarchy uniqueName="[Measures].[Sum of TotalPrice]" caption="Sum of TotalPrice" measure="1" displayFolder="" measureGroup="Analysis-Dataset"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Quantity]" caption="Sum of Quantity" measure="1" displayFolder="" measureGroup="Analysis-Dataset" count="0" hidden="1">
      <extLst>
        <ext xmlns:x15="http://schemas.microsoft.com/office/spreadsheetml/2010/11/main" uri="{B97F6D7D-B522-45F9-BDA1-12C45D357490}">
          <x15:cacheHierarchy aggregatedColumn="4"/>
        </ext>
      </extLst>
    </cacheHierarchy>
    <cacheHierarchy uniqueName="[Measures].[Sum of ItemsInCart]" caption="Sum of ItemsInCart" measure="1" displayFolder="" measureGroup="Analysis-Dataset" count="0" hidden="1">
      <extLst>
        <ext xmlns:x15="http://schemas.microsoft.com/office/spreadsheetml/2010/11/main" uri="{B97F6D7D-B522-45F9-BDA1-12C45D357490}">
          <x15:cacheHierarchy aggregatedColumn="10"/>
        </ext>
      </extLst>
    </cacheHierarchy>
  </cacheHierarchies>
  <kpis count="0"/>
  <dimensions count="3">
    <dimension name="Analysis-Dataset" uniqueName="[Analysis-Dataset]" caption="Analysis-Dataset"/>
    <dimension name="Date-Table" uniqueName="[Date-Table]" caption="Date-Table"/>
    <dimension measure="1" name="Measures" uniqueName="[Measures]" caption="Measures"/>
  </dimensions>
  <measureGroups count="2">
    <measureGroup name="Analysis-Dataset" caption="Analysis-Dataset"/>
    <measureGroup name="Date-Table" caption="Date-Table"/>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USER" refreshedDate="46288.619070023145" createdVersion="5" refreshedVersion="8" minRefreshableVersion="3" recordCount="0" supportSubquery="1" supportAdvancedDrill="1" xr:uid="{9CC1D1BB-FD01-48E1-ACE9-2E0DB10F0CF3}">
  <cacheSource type="external" connectionId="3"/>
  <cacheFields count="3">
    <cacheField name="[Date-Table].[Month].[Month]" caption="Month" numFmtId="0" hierarchy="15"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ate-Table].[Month].&amp;[1]"/>
            <x15:cachedUniqueName index="1" name="[Date-Table].[Month].&amp;[2]"/>
            <x15:cachedUniqueName index="2" name="[Date-Table].[Month].&amp;[3]"/>
            <x15:cachedUniqueName index="3" name="[Date-Table].[Month].&amp;[4]"/>
            <x15:cachedUniqueName index="4" name="[Date-Table].[Month].&amp;[5]"/>
            <x15:cachedUniqueName index="5" name="[Date-Table].[Month].&amp;[6]"/>
            <x15:cachedUniqueName index="6" name="[Date-Table].[Month].&amp;[7]"/>
            <x15:cachedUniqueName index="7" name="[Date-Table].[Month].&amp;[8]"/>
            <x15:cachedUniqueName index="8" name="[Date-Table].[Month].&amp;[9]"/>
            <x15:cachedUniqueName index="9" name="[Date-Table].[Month].&amp;[10]"/>
            <x15:cachedUniqueName index="10" name="[Date-Table].[Month].&amp;[11]"/>
            <x15:cachedUniqueName index="11" name="[Date-Table].[Month].&amp;[12]"/>
          </x15:cachedUniqueNames>
        </ext>
      </extLst>
    </cacheField>
    <cacheField name="[Measures].[Sum of TotalPrice]" caption="Sum of TotalPrice" numFmtId="0" hierarchy="29" level="32767"/>
    <cacheField name="[Analysis-Dataset].[Date].[Date]" caption="Date" numFmtId="0" hierarchy="1" level="1">
      <sharedItems containsSemiMixedTypes="0" containsNonDate="0" containsString="0"/>
    </cacheField>
  </cacheFields>
  <cacheHierarchies count="32">
    <cacheHierarchy uniqueName="[Analysis-Dataset].[OrderID]" caption="OrderID" attribute="1" defaultMemberUniqueName="[Analysis-Dataset].[OrderID].[All]" allUniqueName="[Analysis-Dataset].[OrderID].[All]" dimensionUniqueName="[Analysis-Dataset]" displayFolder="" count="0" memberValueDatatype="130" unbalanced="0"/>
    <cacheHierarchy uniqueName="[Analysis-Dataset].[Date]" caption="Date" attribute="1" time="1" defaultMemberUniqueName="[Analysis-Dataset].[Date].[All]" allUniqueName="[Analysis-Dataset].[Date].[All]" dimensionUniqueName="[Analysis-Dataset]" displayFolder="" count="2" memberValueDatatype="7" unbalanced="0">
      <fieldsUsage count="2">
        <fieldUsage x="-1"/>
        <fieldUsage x="2"/>
      </fieldsUsage>
    </cacheHierarchy>
    <cacheHierarchy uniqueName="[Analysis-Dataset].[CustomerID]" caption="CustomerID" attribute="1" defaultMemberUniqueName="[Analysis-Dataset].[CustomerID].[All]" allUniqueName="[Analysis-Dataset].[CustomerID].[All]" dimensionUniqueName="[Analysis-Dataset]" displayFolder="" count="0" memberValueDatatype="130" unbalanced="0"/>
    <cacheHierarchy uniqueName="[Analysis-Dataset].[Product]" caption="Product" attribute="1" defaultMemberUniqueName="[Analysis-Dataset].[Product].[All]" allUniqueName="[Analysis-Dataset].[Product].[All]" dimensionUniqueName="[Analysis-Dataset]" displayFolder="" count="0" memberValueDatatype="130" unbalanced="0"/>
    <cacheHierarchy uniqueName="[Analysis-Dataset].[Quantity]" caption="Quantity" attribute="1" defaultMemberUniqueName="[Analysis-Dataset].[Quantity].[All]" allUniqueName="[Analysis-Dataset].[Quantity].[All]" dimensionUniqueName="[Analysis-Dataset]" displayFolder="" count="0" memberValueDatatype="20" unbalanced="0"/>
    <cacheHierarchy uniqueName="[Analysis-Dataset].[UnitPrice]" caption="UnitPrice" attribute="1" defaultMemberUniqueName="[Analysis-Dataset].[UnitPrice].[All]" allUniqueName="[Analysis-Dataset].[UnitPrice].[All]" dimensionUniqueName="[Analysis-Dataset]" displayFolder="" count="0" memberValueDatatype="5" unbalanced="0"/>
    <cacheHierarchy uniqueName="[Analysis-Dataset].[ShippingAddress]" caption="ShippingAddress" attribute="1" defaultMemberUniqueName="[Analysis-Dataset].[ShippingAddress].[All]" allUniqueName="[Analysis-Dataset].[ShippingAddress].[All]" dimensionUniqueName="[Analysis-Dataset]" displayFolder="" count="0" memberValueDatatype="130" unbalanced="0"/>
    <cacheHierarchy uniqueName="[Analysis-Dataset].[PaymentMethod]" caption="PaymentMethod" attribute="1" defaultMemberUniqueName="[Analysis-Dataset].[PaymentMethod].[All]" allUniqueName="[Analysis-Dataset].[PaymentMethod].[All]" dimensionUniqueName="[Analysis-Dataset]" displayFolder="" count="0" memberValueDatatype="130" unbalanced="0"/>
    <cacheHierarchy uniqueName="[Analysis-Dataset].[OrderStatus]" caption="OrderStatus" attribute="1" defaultMemberUniqueName="[Analysis-Dataset].[OrderStatus].[All]" allUniqueName="[Analysis-Dataset].[OrderStatus].[All]" dimensionUniqueName="[Analysis-Dataset]" displayFolder="" count="0" memberValueDatatype="130" unbalanced="0"/>
    <cacheHierarchy uniqueName="[Analysis-Dataset].[TrackingNumber]" caption="TrackingNumber" attribute="1" defaultMemberUniqueName="[Analysis-Dataset].[TrackingNumber].[All]" allUniqueName="[Analysis-Dataset].[TrackingNumber].[All]" dimensionUniqueName="[Analysis-Dataset]" displayFolder="" count="0" memberValueDatatype="130" unbalanced="0"/>
    <cacheHierarchy uniqueName="[Analysis-Dataset].[ItemsInCart]" caption="ItemsInCart" attribute="1" defaultMemberUniqueName="[Analysis-Dataset].[ItemsInCart].[All]" allUniqueName="[Analysis-Dataset].[ItemsInCart].[All]" dimensionUniqueName="[Analysis-Dataset]" displayFolder="" count="0" memberValueDatatype="20" unbalanced="0"/>
    <cacheHierarchy uniqueName="[Analysis-Dataset].[CouponCode]" caption="CouponCode" attribute="1" defaultMemberUniqueName="[Analysis-Dataset].[CouponCode].[All]" allUniqueName="[Analysis-Dataset].[CouponCode].[All]" dimensionUniqueName="[Analysis-Dataset]" displayFolder="" count="0" memberValueDatatype="130" unbalanced="0"/>
    <cacheHierarchy uniqueName="[Analysis-Dataset].[ReferralSource]" caption="ReferralSource" attribute="1" defaultMemberUniqueName="[Analysis-Dataset].[ReferralSource].[All]" allUniqueName="[Analysis-Dataset].[ReferralSource].[All]" dimensionUniqueName="[Analysis-Dataset]" displayFolder="" count="0" memberValueDatatype="130" unbalanced="0"/>
    <cacheHierarchy uniqueName="[Analysis-Dataset].[TotalPrice]" caption="TotalPrice" attribute="1" defaultMemberUniqueName="[Analysis-Dataset].[TotalPrice].[All]" allUniqueName="[Analysis-Dataset].[TotalPrice].[All]" dimensionUniqueName="[Analysis-Dataset]" displayFolder="" count="0" memberValueDatatype="5" unbalanced="0"/>
    <cacheHierarchy uniqueName="[Date-Table].[Date]" caption="Date" attribute="1" time="1" defaultMemberUniqueName="[Date-Table].[Date].[All]" allUniqueName="[Date-Table].[Date].[All]" dimensionUniqueName="[Date-Table]" displayFolder="" count="0" memberValueDatatype="7" unbalanced="0"/>
    <cacheHierarchy uniqueName="[Date-Table].[Month]" caption="Month" attribute="1" defaultMemberUniqueName="[Date-Table].[Month].[All]" allUniqueName="[Date-Table].[Month].[All]" dimensionUniqueName="[Date-Table]" displayFolder="" count="2" memberValueDatatype="20" unbalanced="0">
      <fieldsUsage count="2">
        <fieldUsage x="-1"/>
        <fieldUsage x="0"/>
      </fieldsUsage>
    </cacheHierarchy>
    <cacheHierarchy uniqueName="[Date-Table].[Month Name]" caption="Month Name" attribute="1" defaultMemberUniqueName="[Date-Table].[Month Name].[All]" allUniqueName="[Date-Table].[Month Name].[All]" dimensionUniqueName="[Date-Table]" displayFolder="" count="0" memberValueDatatype="130" unbalanced="0"/>
    <cacheHierarchy uniqueName="[Measures].[Gross Revenue]" caption="Gross Revenue" measure="1" displayFolder="" measureGroup="Analysis-Dataset" count="0"/>
    <cacheHierarchy uniqueName="[Measures].[Revenue Lost]" caption="Revenue Lost" measure="1" displayFolder="" measureGroup="Analysis-Dataset" count="0"/>
    <cacheHierarchy uniqueName="[Measures].[Revenue Pending]" caption="Revenue Pending" measure="1" displayFolder="" measureGroup="Analysis-Dataset" count="0"/>
    <cacheHierarchy uniqueName="[Measures].[Net Revenue]" caption="Net Revenue" measure="1" displayFolder="" measureGroup="Analysis-Dataset" count="0"/>
    <cacheHierarchy uniqueName="[Measures].[Net Revenue % of Gross]" caption="Net Revenue % of Gross" measure="1" displayFolder="" measureGroup="Analysis-Dataset" count="0"/>
    <cacheHierarchy uniqueName="[Measures].[Total Orders]" caption="Total Orders" measure="1" displayFolder="" measureGroup="Analysis-Dataset" count="0"/>
    <cacheHierarchy uniqueName="[Measures].[Lost Orders]" caption="Lost Orders" measure="1" displayFolder="" measureGroup="Analysis-Dataset" count="0"/>
    <cacheHierarchy uniqueName="[Measures].[Lost Rate]" caption="Lost Rate" measure="1" displayFolder="" measureGroup="Analysis-Dataset" count="0"/>
    <cacheHierarchy uniqueName="[Measures].[__XL_Count Analysis-Dataset]" caption="__XL_Count Analysis-Dataset" measure="1" displayFolder="" measureGroup="Analysis-Dataset" count="0" hidden="1"/>
    <cacheHierarchy uniqueName="[Measures].[__XL_Count Date-Table]" caption="__XL_Count Date-Table" measure="1" displayFolder="" measureGroup="Date-Table" count="0" hidden="1"/>
    <cacheHierarchy uniqueName="[Measures].[__No measures defined]" caption="__No measures defined" measure="1" displayFolder="" count="0" hidden="1"/>
    <cacheHierarchy uniqueName="[Measures].[Count of OrderID]" caption="Count of OrderID" measure="1" displayFolder="" measureGroup="Analysis-Dataset" count="0" hidden="1">
      <extLst>
        <ext xmlns:x15="http://schemas.microsoft.com/office/spreadsheetml/2010/11/main" uri="{B97F6D7D-B522-45F9-BDA1-12C45D357490}">
          <x15:cacheHierarchy aggregatedColumn="0"/>
        </ext>
      </extLst>
    </cacheHierarchy>
    <cacheHierarchy uniqueName="[Measures].[Sum of TotalPrice]" caption="Sum of TotalPrice" measure="1" displayFolder="" measureGroup="Analysis-Dataset"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Quantity]" caption="Sum of Quantity" measure="1" displayFolder="" measureGroup="Analysis-Dataset" count="0" hidden="1">
      <extLst>
        <ext xmlns:x15="http://schemas.microsoft.com/office/spreadsheetml/2010/11/main" uri="{B97F6D7D-B522-45F9-BDA1-12C45D357490}">
          <x15:cacheHierarchy aggregatedColumn="4"/>
        </ext>
      </extLst>
    </cacheHierarchy>
    <cacheHierarchy uniqueName="[Measures].[Sum of ItemsInCart]" caption="Sum of ItemsInCart" measure="1" displayFolder="" measureGroup="Analysis-Dataset" count="0" hidden="1">
      <extLst>
        <ext xmlns:x15="http://schemas.microsoft.com/office/spreadsheetml/2010/11/main" uri="{B97F6D7D-B522-45F9-BDA1-12C45D357490}">
          <x15:cacheHierarchy aggregatedColumn="10"/>
        </ext>
      </extLst>
    </cacheHierarchy>
  </cacheHierarchies>
  <kpis count="0"/>
  <dimensions count="3">
    <dimension name="Analysis-Dataset" uniqueName="[Analysis-Dataset]" caption="Analysis-Dataset"/>
    <dimension name="Date-Table" uniqueName="[Date-Table]" caption="Date-Table"/>
    <dimension measure="1" name="Measures" uniqueName="[Measures]" caption="Measures"/>
  </dimensions>
  <measureGroups count="2">
    <measureGroup name="Analysis-Dataset" caption="Analysis-Dataset"/>
    <measureGroup name="Date-Table" caption="Date-Table"/>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USER" refreshedDate="46288.619070601853" createdVersion="5" refreshedVersion="8" minRefreshableVersion="3" recordCount="0" supportSubquery="1" supportAdvancedDrill="1" xr:uid="{06F4CD3A-90B8-4231-92B5-7A23C88FB303}">
  <cacheSource type="external" connectionId="3"/>
  <cacheFields count="7">
    <cacheField name="[Measures].[Gross Revenue]" caption="Gross Revenue" numFmtId="0" hierarchy="17" level="32767"/>
    <cacheField name="[Measures].[Revenue Pending]" caption="Revenue Pending" numFmtId="0" hierarchy="19" level="32767"/>
    <cacheField name="[Measures].[Revenue Lost]" caption="Revenue Lost" numFmtId="0" hierarchy="18" level="32767"/>
    <cacheField name="[Measures].[Net Revenue]" caption="Net Revenue" numFmtId="0" hierarchy="20" level="32767"/>
    <cacheField name="[Measures].[Net Revenue % of Gross]" caption="Net Revenue % of Gross" numFmtId="0" hierarchy="21" level="32767"/>
    <cacheField name="[Analysis-Dataset].[Date].[Date]" caption="Date" numFmtId="0" hierarchy="1" level="1">
      <sharedItems containsSemiMixedTypes="0" containsNonDate="0" containsString="0"/>
    </cacheField>
    <cacheField name="[Analysis-Dataset].[PaymentMethod].[PaymentMethod]" caption="PaymentMethod" numFmtId="0" hierarchy="7" level="1">
      <sharedItems containsSemiMixedTypes="0" containsNonDate="0" containsString="0"/>
    </cacheField>
  </cacheFields>
  <cacheHierarchies count="32">
    <cacheHierarchy uniqueName="[Analysis-Dataset].[OrderID]" caption="OrderID" attribute="1" defaultMemberUniqueName="[Analysis-Dataset].[OrderID].[All]" allUniqueName="[Analysis-Dataset].[OrderID].[All]" dimensionUniqueName="[Analysis-Dataset]" displayFolder="" count="0" memberValueDatatype="130" unbalanced="0"/>
    <cacheHierarchy uniqueName="[Analysis-Dataset].[Date]" caption="Date" attribute="1" time="1" defaultMemberUniqueName="[Analysis-Dataset].[Date].[All]" allUniqueName="[Analysis-Dataset].[Date].[All]" dimensionUniqueName="[Analysis-Dataset]" displayFolder="" count="2" memberValueDatatype="7" unbalanced="0">
      <fieldsUsage count="2">
        <fieldUsage x="-1"/>
        <fieldUsage x="5"/>
      </fieldsUsage>
    </cacheHierarchy>
    <cacheHierarchy uniqueName="[Analysis-Dataset].[CustomerID]" caption="CustomerID" attribute="1" defaultMemberUniqueName="[Analysis-Dataset].[CustomerID].[All]" allUniqueName="[Analysis-Dataset].[CustomerID].[All]" dimensionUniqueName="[Analysis-Dataset]" displayFolder="" count="0" memberValueDatatype="130" unbalanced="0"/>
    <cacheHierarchy uniqueName="[Analysis-Dataset].[Product]" caption="Product" attribute="1" defaultMemberUniqueName="[Analysis-Dataset].[Product].[All]" allUniqueName="[Analysis-Dataset].[Product].[All]" dimensionUniqueName="[Analysis-Dataset]" displayFolder="" count="0" memberValueDatatype="130" unbalanced="0"/>
    <cacheHierarchy uniqueName="[Analysis-Dataset].[Quantity]" caption="Quantity" attribute="1" defaultMemberUniqueName="[Analysis-Dataset].[Quantity].[All]" allUniqueName="[Analysis-Dataset].[Quantity].[All]" dimensionUniqueName="[Analysis-Dataset]" displayFolder="" count="0" memberValueDatatype="20" unbalanced="0"/>
    <cacheHierarchy uniqueName="[Analysis-Dataset].[UnitPrice]" caption="UnitPrice" attribute="1" defaultMemberUniqueName="[Analysis-Dataset].[UnitPrice].[All]" allUniqueName="[Analysis-Dataset].[UnitPrice].[All]" dimensionUniqueName="[Analysis-Dataset]" displayFolder="" count="0" memberValueDatatype="5" unbalanced="0"/>
    <cacheHierarchy uniqueName="[Analysis-Dataset].[ShippingAddress]" caption="ShippingAddress" attribute="1" defaultMemberUniqueName="[Analysis-Dataset].[ShippingAddress].[All]" allUniqueName="[Analysis-Dataset].[ShippingAddress].[All]" dimensionUniqueName="[Analysis-Dataset]" displayFolder="" count="0" memberValueDatatype="130" unbalanced="0"/>
    <cacheHierarchy uniqueName="[Analysis-Dataset].[PaymentMethod]" caption="PaymentMethod" attribute="1" defaultMemberUniqueName="[Analysis-Dataset].[PaymentMethod].[All]" allUniqueName="[Analysis-Dataset].[PaymentMethod].[All]" dimensionUniqueName="[Analysis-Dataset]" displayFolder="" count="2" memberValueDatatype="130" unbalanced="0">
      <fieldsUsage count="2">
        <fieldUsage x="-1"/>
        <fieldUsage x="6"/>
      </fieldsUsage>
    </cacheHierarchy>
    <cacheHierarchy uniqueName="[Analysis-Dataset].[OrderStatus]" caption="OrderStatus" attribute="1" defaultMemberUniqueName="[Analysis-Dataset].[OrderStatus].[All]" allUniqueName="[Analysis-Dataset].[OrderStatus].[All]" dimensionUniqueName="[Analysis-Dataset]" displayFolder="" count="0" memberValueDatatype="130" unbalanced="0"/>
    <cacheHierarchy uniqueName="[Analysis-Dataset].[TrackingNumber]" caption="TrackingNumber" attribute="1" defaultMemberUniqueName="[Analysis-Dataset].[TrackingNumber].[All]" allUniqueName="[Analysis-Dataset].[TrackingNumber].[All]" dimensionUniqueName="[Analysis-Dataset]" displayFolder="" count="0" memberValueDatatype="130" unbalanced="0"/>
    <cacheHierarchy uniqueName="[Analysis-Dataset].[ItemsInCart]" caption="ItemsInCart" attribute="1" defaultMemberUniqueName="[Analysis-Dataset].[ItemsInCart].[All]" allUniqueName="[Analysis-Dataset].[ItemsInCart].[All]" dimensionUniqueName="[Analysis-Dataset]" displayFolder="" count="0" memberValueDatatype="20" unbalanced="0"/>
    <cacheHierarchy uniqueName="[Analysis-Dataset].[CouponCode]" caption="CouponCode" attribute="1" defaultMemberUniqueName="[Analysis-Dataset].[CouponCode].[All]" allUniqueName="[Analysis-Dataset].[CouponCode].[All]" dimensionUniqueName="[Analysis-Dataset]" displayFolder="" count="0" memberValueDatatype="130" unbalanced="0"/>
    <cacheHierarchy uniqueName="[Analysis-Dataset].[ReferralSource]" caption="ReferralSource" attribute="1" defaultMemberUniqueName="[Analysis-Dataset].[ReferralSource].[All]" allUniqueName="[Analysis-Dataset].[ReferralSource].[All]" dimensionUniqueName="[Analysis-Dataset]" displayFolder="" count="0" memberValueDatatype="130" unbalanced="0"/>
    <cacheHierarchy uniqueName="[Analysis-Dataset].[TotalPrice]" caption="TotalPrice" attribute="1" defaultMemberUniqueName="[Analysis-Dataset].[TotalPrice].[All]" allUniqueName="[Analysis-Dataset].[TotalPrice].[All]" dimensionUniqueName="[Analysis-Dataset]" displayFolder="" count="0" memberValueDatatype="5" unbalanced="0"/>
    <cacheHierarchy uniqueName="[Date-Table].[Date]" caption="Date" attribute="1" time="1" defaultMemberUniqueName="[Date-Table].[Date].[All]" allUniqueName="[Date-Table].[Date].[All]" dimensionUniqueName="[Date-Table]" displayFolder="" count="0" memberValueDatatype="7" unbalanced="0"/>
    <cacheHierarchy uniqueName="[Date-Table].[Month]" caption="Month" attribute="1" defaultMemberUniqueName="[Date-Table].[Month].[All]" allUniqueName="[Date-Table].[Month].[All]" dimensionUniqueName="[Date-Table]" displayFolder="" count="0" memberValueDatatype="20" unbalanced="0"/>
    <cacheHierarchy uniqueName="[Date-Table].[Month Name]" caption="Month Name" attribute="1" defaultMemberUniqueName="[Date-Table].[Month Name].[All]" allUniqueName="[Date-Table].[Month Name].[All]" dimensionUniqueName="[Date-Table]" displayFolder="" count="0" memberValueDatatype="130" unbalanced="0"/>
    <cacheHierarchy uniqueName="[Measures].[Gross Revenue]" caption="Gross Revenue" measure="1" displayFolder="" measureGroup="Analysis-Dataset" count="0" oneField="1">
      <fieldsUsage count="1">
        <fieldUsage x="0"/>
      </fieldsUsage>
    </cacheHierarchy>
    <cacheHierarchy uniqueName="[Measures].[Revenue Lost]" caption="Revenue Lost" measure="1" displayFolder="" measureGroup="Analysis-Dataset" count="0" oneField="1">
      <fieldsUsage count="1">
        <fieldUsage x="2"/>
      </fieldsUsage>
    </cacheHierarchy>
    <cacheHierarchy uniqueName="[Measures].[Revenue Pending]" caption="Revenue Pending" measure="1" displayFolder="" measureGroup="Analysis-Dataset" count="0" oneField="1">
      <fieldsUsage count="1">
        <fieldUsage x="1"/>
      </fieldsUsage>
    </cacheHierarchy>
    <cacheHierarchy uniqueName="[Measures].[Net Revenue]" caption="Net Revenue" measure="1" displayFolder="" measureGroup="Analysis-Dataset" count="0" oneField="1">
      <fieldsUsage count="1">
        <fieldUsage x="3"/>
      </fieldsUsage>
    </cacheHierarchy>
    <cacheHierarchy uniqueName="[Measures].[Net Revenue % of Gross]" caption="Net Revenue % of Gross" measure="1" displayFolder="" measureGroup="Analysis-Dataset" count="0" oneField="1">
      <fieldsUsage count="1">
        <fieldUsage x="4"/>
      </fieldsUsage>
    </cacheHierarchy>
    <cacheHierarchy uniqueName="[Measures].[Total Orders]" caption="Total Orders" measure="1" displayFolder="" measureGroup="Analysis-Dataset" count="0"/>
    <cacheHierarchy uniqueName="[Measures].[Lost Orders]" caption="Lost Orders" measure="1" displayFolder="" measureGroup="Analysis-Dataset" count="0"/>
    <cacheHierarchy uniqueName="[Measures].[Lost Rate]" caption="Lost Rate" measure="1" displayFolder="" measureGroup="Analysis-Dataset" count="0"/>
    <cacheHierarchy uniqueName="[Measures].[__XL_Count Analysis-Dataset]" caption="__XL_Count Analysis-Dataset" measure="1" displayFolder="" measureGroup="Analysis-Dataset" count="0" hidden="1"/>
    <cacheHierarchy uniqueName="[Measures].[__XL_Count Date-Table]" caption="__XL_Count Date-Table" measure="1" displayFolder="" measureGroup="Date-Table" count="0" hidden="1"/>
    <cacheHierarchy uniqueName="[Measures].[__No measures defined]" caption="__No measures defined" measure="1" displayFolder="" count="0" hidden="1"/>
    <cacheHierarchy uniqueName="[Measures].[Count of OrderID]" caption="Count of OrderID" measure="1" displayFolder="" measureGroup="Analysis-Dataset" count="0" hidden="1">
      <extLst>
        <ext xmlns:x15="http://schemas.microsoft.com/office/spreadsheetml/2010/11/main" uri="{B97F6D7D-B522-45F9-BDA1-12C45D357490}">
          <x15:cacheHierarchy aggregatedColumn="0"/>
        </ext>
      </extLst>
    </cacheHierarchy>
    <cacheHierarchy uniqueName="[Measures].[Sum of TotalPrice]" caption="Sum of TotalPrice" measure="1" displayFolder="" measureGroup="Analysis-Dataset"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Analysis-Dataset" count="0" hidden="1">
      <extLst>
        <ext xmlns:x15="http://schemas.microsoft.com/office/spreadsheetml/2010/11/main" uri="{B97F6D7D-B522-45F9-BDA1-12C45D357490}">
          <x15:cacheHierarchy aggregatedColumn="4"/>
        </ext>
      </extLst>
    </cacheHierarchy>
    <cacheHierarchy uniqueName="[Measures].[Sum of ItemsInCart]" caption="Sum of ItemsInCart" measure="1" displayFolder="" measureGroup="Analysis-Dataset" count="0" hidden="1">
      <extLst>
        <ext xmlns:x15="http://schemas.microsoft.com/office/spreadsheetml/2010/11/main" uri="{B97F6D7D-B522-45F9-BDA1-12C45D357490}">
          <x15:cacheHierarchy aggregatedColumn="10"/>
        </ext>
      </extLst>
    </cacheHierarchy>
  </cacheHierarchies>
  <kpis count="0"/>
  <dimensions count="3">
    <dimension name="Analysis-Dataset" uniqueName="[Analysis-Dataset]" caption="Analysis-Dataset"/>
    <dimension name="Date-Table" uniqueName="[Date-Table]" caption="Date-Table"/>
    <dimension measure="1" name="Measures" uniqueName="[Measures]" caption="Measures"/>
  </dimensions>
  <measureGroups count="2">
    <measureGroup name="Analysis-Dataset" caption="Analysis-Dataset"/>
    <measureGroup name="Date-Table" caption="Date-Table"/>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USER" refreshedDate="46287.813039699075" createdVersion="3" refreshedVersion="8" minRefreshableVersion="3" recordCount="0" supportSubquery="1" supportAdvancedDrill="1" xr:uid="{84A043F6-D903-4346-957F-2FEB4246B81F}">
  <cacheSource type="external" connectionId="3">
    <extLst>
      <ext xmlns:x14="http://schemas.microsoft.com/office/spreadsheetml/2009/9/main" uri="{F057638F-6D5F-4e77-A914-E7F072B9BCA8}">
        <x14:sourceConnection name="ThisWorkbookDataModel"/>
      </ext>
    </extLst>
  </cacheSource>
  <cacheFields count="0"/>
  <cacheHierarchies count="30">
    <cacheHierarchy uniqueName="[Analysis-Dataset].[OrderID]" caption="OrderID" attribute="1" defaultMemberUniqueName="[Analysis-Dataset].[OrderID].[All]" allUniqueName="[Analysis-Dataset].[OrderID].[All]" dimensionUniqueName="[Analysis-Dataset]" displayFolder="" count="0" memberValueDatatype="130" unbalanced="0"/>
    <cacheHierarchy uniqueName="[Analysis-Dataset].[Date]" caption="Date" attribute="1" time="1" defaultMemberUniqueName="[Analysis-Dataset].[Date].[All]" allUniqueName="[Analysis-Dataset].[Date].[All]" dimensionUniqueName="[Analysis-Dataset]" displayFolder="" count="2" memberValueDatatype="7" unbalanced="0"/>
    <cacheHierarchy uniqueName="[Analysis-Dataset].[CustomerID]" caption="CustomerID" attribute="1" defaultMemberUniqueName="[Analysis-Dataset].[CustomerID].[All]" allUniqueName="[Analysis-Dataset].[CustomerID].[All]" dimensionUniqueName="[Analysis-Dataset]" displayFolder="" count="0" memberValueDatatype="130" unbalanced="0"/>
    <cacheHierarchy uniqueName="[Analysis-Dataset].[Product]" caption="Product" attribute="1" defaultMemberUniqueName="[Analysis-Dataset].[Product].[All]" allUniqueName="[Analysis-Dataset].[Product].[All]" dimensionUniqueName="[Analysis-Dataset]" displayFolder="" count="0" memberValueDatatype="130" unbalanced="0"/>
    <cacheHierarchy uniqueName="[Analysis-Dataset].[Quantity]" caption="Quantity" attribute="1" defaultMemberUniqueName="[Analysis-Dataset].[Quantity].[All]" allUniqueName="[Analysis-Dataset].[Quantity].[All]" dimensionUniqueName="[Analysis-Dataset]" displayFolder="" count="0" memberValueDatatype="20" unbalanced="0"/>
    <cacheHierarchy uniqueName="[Analysis-Dataset].[UnitPrice]" caption="UnitPrice" attribute="1" defaultMemberUniqueName="[Analysis-Dataset].[UnitPrice].[All]" allUniqueName="[Analysis-Dataset].[UnitPrice].[All]" dimensionUniqueName="[Analysis-Dataset]" displayFolder="" count="0" memberValueDatatype="5" unbalanced="0"/>
    <cacheHierarchy uniqueName="[Analysis-Dataset].[ShippingAddress]" caption="ShippingAddress" attribute="1" defaultMemberUniqueName="[Analysis-Dataset].[ShippingAddress].[All]" allUniqueName="[Analysis-Dataset].[ShippingAddress].[All]" dimensionUniqueName="[Analysis-Dataset]" displayFolder="" count="0" memberValueDatatype="130" unbalanced="0"/>
    <cacheHierarchy uniqueName="[Analysis-Dataset].[PaymentMethod]" caption="PaymentMethod" attribute="1" defaultMemberUniqueName="[Analysis-Dataset].[PaymentMethod].[All]" allUniqueName="[Analysis-Dataset].[PaymentMethod].[All]" dimensionUniqueName="[Analysis-Dataset]" displayFolder="" count="0" memberValueDatatype="130" unbalanced="0"/>
    <cacheHierarchy uniqueName="[Analysis-Dataset].[OrderStatus]" caption="OrderStatus" attribute="1" defaultMemberUniqueName="[Analysis-Dataset].[OrderStatus].[All]" allUniqueName="[Analysis-Dataset].[OrderStatus].[All]" dimensionUniqueName="[Analysis-Dataset]" displayFolder="" count="0" memberValueDatatype="130" unbalanced="0"/>
    <cacheHierarchy uniqueName="[Analysis-Dataset].[TrackingNumber]" caption="TrackingNumber" attribute="1" defaultMemberUniqueName="[Analysis-Dataset].[TrackingNumber].[All]" allUniqueName="[Analysis-Dataset].[TrackingNumber].[All]" dimensionUniqueName="[Analysis-Dataset]" displayFolder="" count="0" memberValueDatatype="130" unbalanced="0"/>
    <cacheHierarchy uniqueName="[Analysis-Dataset].[ItemsInCart]" caption="ItemsInCart" attribute="1" defaultMemberUniqueName="[Analysis-Dataset].[ItemsInCart].[All]" allUniqueName="[Analysis-Dataset].[ItemsInCart].[All]" dimensionUniqueName="[Analysis-Dataset]" displayFolder="" count="0" memberValueDatatype="20" unbalanced="0"/>
    <cacheHierarchy uniqueName="[Analysis-Dataset].[CouponCode]" caption="CouponCode" attribute="1" defaultMemberUniqueName="[Analysis-Dataset].[CouponCode].[All]" allUniqueName="[Analysis-Dataset].[CouponCode].[All]" dimensionUniqueName="[Analysis-Dataset]" displayFolder="" count="0" memberValueDatatype="130" unbalanced="0"/>
    <cacheHierarchy uniqueName="[Analysis-Dataset].[ReferralSource]" caption="ReferralSource" attribute="1" defaultMemberUniqueName="[Analysis-Dataset].[ReferralSource].[All]" allUniqueName="[Analysis-Dataset].[ReferralSource].[All]" dimensionUniqueName="[Analysis-Dataset]" displayFolder="" count="0" memberValueDatatype="130" unbalanced="0"/>
    <cacheHierarchy uniqueName="[Analysis-Dataset].[TotalPrice]" caption="TotalPrice" attribute="1" defaultMemberUniqueName="[Analysis-Dataset].[TotalPrice].[All]" allUniqueName="[Analysis-Dataset].[TotalPrice].[All]" dimensionUniqueName="[Analysis-Dataset]" displayFolder="" count="0" memberValueDatatype="5" unbalanced="0"/>
    <cacheHierarchy uniqueName="[Date-Table].[Date]" caption="Date" attribute="1" time="1" defaultMemberUniqueName="[Date-Table].[Date].[All]" allUniqueName="[Date-Table].[Date].[All]" dimensionUniqueName="[Date-Table]" displayFolder="" count="0" memberValueDatatype="7" unbalanced="0"/>
    <cacheHierarchy uniqueName="[Date-Table].[Month]" caption="Month" attribute="1" defaultMemberUniqueName="[Date-Table].[Month].[All]" allUniqueName="[Date-Table].[Month].[All]" dimensionUniqueName="[Date-Table]" displayFolder="" count="0" memberValueDatatype="20" unbalanced="0"/>
    <cacheHierarchy uniqueName="[Date-Table].[Month Name]" caption="Month Name" attribute="1" defaultMemberUniqueName="[Date-Table].[Month Name].[All]" allUniqueName="[Date-Table].[Month Name].[All]" dimensionUniqueName="[Date-Table]" displayFolder="" count="0" memberValueDatatype="130" unbalanced="0"/>
    <cacheHierarchy uniqueName="[Measures].[Count of OrderID]" caption="Count of OrderID" measure="1" displayFolder="" measureGroup="Analysis-Dataset" count="0">
      <extLst>
        <ext xmlns:x15="http://schemas.microsoft.com/office/spreadsheetml/2010/11/main" uri="{B97F6D7D-B522-45F9-BDA1-12C45D357490}">
          <x15:cacheHierarchy aggregatedColumn="0"/>
        </ext>
      </extLst>
    </cacheHierarchy>
    <cacheHierarchy uniqueName="[Measures].[Sum of TotalPrice]" caption="Sum of TotalPrice" measure="1" displayFolder="" measureGroup="Analysis-Dataset" count="0">
      <extLst>
        <ext xmlns:x15="http://schemas.microsoft.com/office/spreadsheetml/2010/11/main" uri="{B97F6D7D-B522-45F9-BDA1-12C45D357490}">
          <x15:cacheHierarchy aggregatedColumn="13"/>
        </ext>
      </extLst>
    </cacheHierarchy>
    <cacheHierarchy uniqueName="[Measures].[Gross Revenue]" caption="Gross Revenue" measure="1" displayFolder="" measureGroup="Analysis-Dataset" count="0"/>
    <cacheHierarchy uniqueName="[Measures].[Revenue Lost]" caption="Revenue Lost" measure="1" displayFolder="" measureGroup="Analysis-Dataset" count="0"/>
    <cacheHierarchy uniqueName="[Measures].[Revenue Pending]" caption="Revenue Pending" measure="1" displayFolder="" measureGroup="Analysis-Dataset" count="0"/>
    <cacheHierarchy uniqueName="[Measures].[Net Revenue]" caption="Net Revenue" measure="1" displayFolder="" measureGroup="Analysis-Dataset" count="0"/>
    <cacheHierarchy uniqueName="[Measures].[Net Revenue % of Gross]" caption="Net Revenue % of Gross" measure="1" displayFolder="" measureGroup="Analysis-Dataset" count="0"/>
    <cacheHierarchy uniqueName="[Measures].[Total Orders]" caption="Total Orders" measure="1" displayFolder="" measureGroup="Analysis-Dataset" count="0"/>
    <cacheHierarchy uniqueName="[Measures].[Lost Orders]" caption="Lost Orders" measure="1" displayFolder="" measureGroup="Analysis-Dataset" count="0"/>
    <cacheHierarchy uniqueName="[Measures].[Lost Rate]" caption="Lost Rate" measure="1" displayFolder="" measureGroup="Analysis-Dataset" count="0"/>
    <cacheHierarchy uniqueName="[Measures].[__XL_Count Analysis-Dataset]" caption="__XL_Count Analysis-Dataset" measure="1" displayFolder="" measureGroup="Analysis-Dataset" count="0" hidden="1"/>
    <cacheHierarchy uniqueName="[Measures].[__XL_Count Date-Table]" caption="__XL_Count Date-Table" measure="1" displayFolder="" measureGroup="Date-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211553637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284562-6F9B-4E95-B17A-1E2CE5BDD77F}" name="Revenue Trend" cacheId="199" applyNumberFormats="0" applyBorderFormats="0" applyFontFormats="0" applyPatternFormats="0" applyAlignmentFormats="0" applyWidthHeightFormats="1" dataCaption="Values" tag="4a734e32-44ad-4c8d-b457-abfb38916ddb" updatedVersion="8" minRefreshableVersion="5" useAutoFormatting="1" subtotalHiddenItems="1" itemPrintTitles="1" createdVersion="5" indent="0" outline="1" outlineData="1" multipleFieldFilters="0" chartFormat="8" rowHeaderCaption="Month">
  <location ref="B13:C26" firstHeaderRow="1" firstDataRow="1" firstDataCol="1"/>
  <pivotFields count="3">
    <pivotField axis="axisRow" allDrilled="1" subtotalTop="0" showAll="0" dataSourceSort="1" defaultAttributeDrillState="1">
      <items count="13">
        <item x="0"/>
        <item x="1"/>
        <item x="2"/>
        <item x="3"/>
        <item x="4"/>
        <item x="5"/>
        <item x="6"/>
        <item x="7"/>
        <item x="8"/>
        <item x="9"/>
        <item x="10"/>
        <item x="11"/>
        <item t="default"/>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TotalPrice"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22" name="[Analysis-Dataset].[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Table]"/>
        <x15:activeTabTopLevelEntity name="[Analysis-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4BEA78-7736-471F-93CD-B5BCFE916307}" name="PivotTable1" cacheId="6" applyNumberFormats="0" applyBorderFormats="0" applyFontFormats="0" applyPatternFormats="0" applyAlignmentFormats="0" applyWidthHeightFormats="1" dataCaption="Values" tag="8ae67df1-b8e3-4dab-9c54-7169a99eba93" updatedVersion="8" minRefreshableVersion="3" useAutoFormatting="1" subtotalHiddenItems="1" itemPrintTitles="1" createdVersion="5" indent="0" outline="1" outlineData="1" multipleFieldFilters="0">
  <location ref="H15:L16"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name="Sum of ItemsInCart" fld="4" baseField="0" baseItem="0"/>
    <dataField name="Sum of Quantity" fld="3" baseField="0" baseItem="0"/>
    <dataField fld="0" subtotal="count" baseField="0" baseItem="0"/>
    <dataField fld="2" subtotal="count" baseField="0" baseItem="0" numFmtId="9"/>
    <dataField fld="1" subtotal="count" baseField="0" baseItem="0"/>
  </dataFields>
  <formats count="1">
    <format dxfId="0">
      <pivotArea outline="0" collapsedLevelsAreSubtotals="1" fieldPosition="0">
        <references count="1">
          <reference field="4294967294" count="1" selected="0">
            <x v="3"/>
          </reference>
        </references>
      </pivotArea>
    </format>
  </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nalysis-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7B4435-DC17-4F45-84AB-C41BC35103B1}" name="PivotTable3" cacheId="193" applyNumberFormats="0" applyBorderFormats="0" applyFontFormats="0" applyPatternFormats="0" applyAlignmentFormats="0" applyWidthHeightFormats="1" dataCaption="Values" tag="91f8b8fe-9685-4205-a7f6-36d6298ba523" updatedVersion="8" minRefreshableVersion="5" useAutoFormatting="1" subtotalHiddenItems="1" itemPrintTitles="1" createdVersion="5" indent="0" outline="1" outlineData="1" multipleFieldFilters="0" chartFormat="5" rowHeaderCaption="Order Status">
  <location ref="B3:C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OrderI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22" name="[Analysis-Dataset].[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nalysis-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809516-2695-47B0-8185-FCD972370359}" name="PivotTable4" cacheId="196" applyNumberFormats="0" applyBorderFormats="0" applyFontFormats="0" applyPatternFormats="0" applyAlignmentFormats="0" applyWidthHeightFormats="1" dataCaption="Values" tag="f6997d9f-efee-4c7a-a314-52f2c46bcf94" updatedVersion="8" minRefreshableVersion="5" useAutoFormatting="1" subtotalHiddenItems="1" itemPrintTitles="1" createdVersion="5" indent="0" outline="1" outlineData="1" multipleFieldFilters="0" chartFormat="8" rowHeaderCaption="Payment Method">
  <location ref="E3:F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TotalPrice" fld="1" baseField="0" baseItem="0"/>
  </dataFields>
  <chartFormats count="6">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0" count="1" selected="0">
            <x v="0"/>
          </reference>
        </references>
      </pivotArea>
    </chartFormat>
    <chartFormat chart="6" format="9">
      <pivotArea type="data" outline="0" fieldPosition="0">
        <references count="2">
          <reference field="4294967294" count="1" selected="0">
            <x v="0"/>
          </reference>
          <reference field="0" count="1" selected="0">
            <x v="1"/>
          </reference>
        </references>
      </pivotArea>
    </chartFormat>
    <chartFormat chart="6" format="10">
      <pivotArea type="data" outline="0" fieldPosition="0">
        <references count="2">
          <reference field="4294967294" count="1" selected="0">
            <x v="0"/>
          </reference>
          <reference field="0" count="1" selected="0">
            <x v="2"/>
          </reference>
        </references>
      </pivotArea>
    </chartFormat>
    <chartFormat chart="6" format="11">
      <pivotArea type="data" outline="0" fieldPosition="0">
        <references count="2">
          <reference field="4294967294" count="1" selected="0">
            <x v="0"/>
          </reference>
          <reference field="0" count="1" selected="0">
            <x v="3"/>
          </reference>
        </references>
      </pivotArea>
    </chartFormat>
    <chartFormat chart="6" format="12">
      <pivotArea type="data" outline="0" fieldPosition="0">
        <references count="2">
          <reference field="4294967294" count="1" selected="0">
            <x v="0"/>
          </reference>
          <reference field="0" count="1" selected="0">
            <x v="4"/>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22" name="[Analysis-Dataset].[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nalysis-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808AEB-9F49-40AC-AD1D-9CD9E0003093}" name="PivotTable8" cacheId="1" applyNumberFormats="0" applyBorderFormats="0" applyFontFormats="0" applyPatternFormats="0" applyAlignmentFormats="0" applyWidthHeightFormats="1" dataCaption="Values" tag="48f758f0-1b14-447d-b0fe-59ff2ee7f3bb" updatedVersion="8" minRefreshableVersion="3" useAutoFormatting="1" subtotalHiddenItems="1" itemPrintTitles="1" createdVersion="5" indent="0" outline="1" outlineData="1" multipleFieldFilters="0" chartFormat="6" rowHeaderCaption="Payment Method">
  <location ref="H6:I12"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fld="1" subtotal="count" baseField="0" baseItem="0"/>
  </dataField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nalysis-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36D763-D892-4AE7-9E0B-E62643932540}" name="PivotTable7" cacheId="202" applyNumberFormats="0" applyBorderFormats="0" applyFontFormats="0" applyPatternFormats="0" applyAlignmentFormats="0" applyWidthHeightFormats="1" dataCaption="Values" tag="7d069b6e-b17e-4473-b162-606310d6a9f8" updatedVersion="8" minRefreshableVersion="5" useAutoFormatting="1" subtotalHiddenItems="1" itemPrintTitles="1" createdVersion="5" indent="0" outline="1" outlineData="1" multipleFieldFilters="0">
  <location ref="H3:L4"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3" subtotal="count" baseField="0" baseItem="0" numFmtId="164"/>
    <dataField fld="4" subtotal="count" baseField="0" baseItem="0" numFmtId="9"/>
    <dataField fld="2" subtotal="count" baseField="0" baseItem="0" numFmtId="164"/>
    <dataField fld="1" subtotal="count" baseField="0" baseItem="0" numFmtId="164"/>
    <dataField fld="0" subtotal="count" baseField="0" baseItem="0" numFmtId="164"/>
  </dataFields>
  <formats count="5">
    <format dxfId="1">
      <pivotArea outline="0" collapsedLevelsAreSubtotals="1" fieldPosition="0">
        <references count="1">
          <reference field="4294967294" count="1" selected="0">
            <x v="2"/>
          </reference>
        </references>
      </pivotArea>
    </format>
    <format dxfId="2">
      <pivotArea outline="0" collapsedLevelsAreSubtotals="1" fieldPosition="0">
        <references count="1">
          <reference field="4294967294" count="1" selected="0">
            <x v="1"/>
          </reference>
        </references>
      </pivotArea>
    </format>
    <format dxfId="3">
      <pivotArea outline="0" collapsedLevelsAreSubtotals="1" fieldPosition="0">
        <references count="1">
          <reference field="4294967294" count="1" selected="0">
            <x v="0"/>
          </reference>
        </references>
      </pivotArea>
    </format>
    <format dxfId="4">
      <pivotArea outline="0" collapsedLevelsAreSubtotals="1" fieldPosition="0">
        <references count="1">
          <reference field="4294967294" count="1" selected="0">
            <x v="4"/>
          </reference>
        </references>
      </pivotArea>
    </format>
    <format dxfId="5">
      <pivotArea outline="0" collapsedLevelsAreSubtotals="1" fieldPosition="0">
        <references count="1">
          <reference field="4294967294" count="1" selected="0">
            <x v="3"/>
          </reference>
        </references>
      </pivotArea>
    </format>
  </formats>
  <pivotHierarchies count="32">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Analysis-Dataset].[PaymentMethod].&amp;[Credit Car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5" type="dateBetween" evalOrder="-1" id="22" name="[Analysis-Dataset].[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nalysis-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1CDD89-48AE-439A-8ECC-C8BD0C04D8BE}" name="PivotTable6" cacheId="190" applyNumberFormats="0" applyBorderFormats="0" applyFontFormats="0" applyPatternFormats="0" applyAlignmentFormats="0" applyWidthHeightFormats="1" dataCaption="Values" tag="608cb7a9-e921-43a6-92c4-c9d8e8a2c3f9" updatedVersion="8" minRefreshableVersion="5" useAutoFormatting="1" subtotalHiddenItems="1" itemPrintTitles="1" createdVersion="5" indent="0" outline="1" outlineData="1" multipleFieldFilters="0" chartFormat="5" rowHeaderCaption="Produt">
  <location ref="E13:F21"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TotalPrice"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22" name="[Analysis-Dataset].[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nalysis-Dataset]"/>
      </x15:pivotTableUISettings>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AC7F136C-AC27-45FA-BFF0-37608AF7C62F}" sourceName="[Analysis-Dataset].[Date]">
  <pivotTables>
    <pivotTable tabId="5" name="PivotTable6"/>
    <pivotTable tabId="5" name="PivotTable3"/>
    <pivotTable tabId="5" name="PivotTable4"/>
    <pivotTable tabId="5" name="Revenue Trend"/>
    <pivotTable tabId="5" name="PivotTable7"/>
  </pivotTables>
  <state minimalRefreshVersion="6" lastRefreshVersion="6" pivotCacheId="2115536377" filterType="dateBetween">
    <selection startDate="2023-01-01T00:00:00" endDate="2023-12-31T00:00:00"/>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1679FF45-11C3-425E-AEAC-62FEEDBF2C0A}" cache="Timeline_Date" caption="Date" showHeader="0" showSelectionLabel="0" showTimeLevel="0" showHorizontalScrollbar="0" level="0" selectionLevel="0" scrollPosition="2023-01-01T00:00:00" style="TimeSlicerStyleDark3"/>
</timelines>
</file>

<file path=xl/worksheets/_rels/sheet1.xml.rels><?xml version="1.0" encoding="UTF-8" standalone="yes"?>
<Relationships xmlns="http://schemas.openxmlformats.org/package/2006/relationships"><Relationship Id="rId2" Type="http://schemas.microsoft.com/office/2011/relationships/timeline" Target="../timelines/timelin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8A8BE-E25F-45EA-BAC3-71293D0DDC0F}">
  <dimension ref="A1"/>
  <sheetViews>
    <sheetView showGridLines="0" tabSelected="1" zoomScale="49" workbookViewId="0">
      <selection activeCell="T49" sqref="T49"/>
    </sheetView>
  </sheetViews>
  <sheetFormatPr defaultRowHeight="14.5" x14ac:dyDescent="0.35"/>
  <sheetData/>
  <pageMargins left="0.7" right="0.7" top="0.75" bottom="0.75" header="0.3" footer="0.3"/>
  <drawing r:id="rId1"/>
  <extLst>
    <ext xmlns:x15="http://schemas.microsoft.com/office/spreadsheetml/2010/11/main" uri="{7E03D99C-DC04-49d9-9315-930204A7B6E9}">
      <x15:timelineRefs>
        <x15:timelineRef r:id="rId2"/>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E3A51-6337-4462-AEDE-13DC345FFCD9}">
  <dimension ref="A1"/>
  <sheetViews>
    <sheetView showGridLines="0" zoomScale="58" workbookViewId="0">
      <selection activeCell="Z8" sqref="Z8"/>
    </sheetView>
  </sheetViews>
  <sheetFormatPr defaultRowHeight="14.5"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9D06-AF18-4912-90BA-0A4EAEB3D27C}">
  <dimension ref="B3:L26"/>
  <sheetViews>
    <sheetView topLeftCell="E1" workbookViewId="0">
      <selection activeCell="E6" sqref="E6"/>
    </sheetView>
  </sheetViews>
  <sheetFormatPr defaultRowHeight="14.5" x14ac:dyDescent="0.35"/>
  <cols>
    <col min="2" max="2" width="10.36328125" bestFit="1" customWidth="1"/>
    <col min="3" max="3" width="15.453125" bestFit="1" customWidth="1"/>
    <col min="5" max="5" width="17.1796875" bestFit="1" customWidth="1"/>
    <col min="6" max="6" width="15.453125" bestFit="1" customWidth="1"/>
    <col min="8" max="8" width="11.36328125" bestFit="1" customWidth="1"/>
    <col min="9" max="9" width="20.54296875" bestFit="1" customWidth="1"/>
    <col min="10" max="10" width="11.90625" bestFit="1" customWidth="1"/>
    <col min="11" max="11" width="15.36328125" bestFit="1" customWidth="1"/>
    <col min="12" max="12" width="13.26953125" bestFit="1" customWidth="1"/>
  </cols>
  <sheetData>
    <row r="3" spans="2:12" x14ac:dyDescent="0.35">
      <c r="B3" s="1" t="s">
        <v>29</v>
      </c>
      <c r="C3" t="s">
        <v>7</v>
      </c>
      <c r="E3" s="1" t="s">
        <v>27</v>
      </c>
      <c r="F3" t="s">
        <v>13</v>
      </c>
      <c r="H3" t="s">
        <v>23</v>
      </c>
      <c r="I3" t="s">
        <v>24</v>
      </c>
      <c r="J3" t="s">
        <v>22</v>
      </c>
      <c r="K3" t="s">
        <v>21</v>
      </c>
      <c r="L3" t="s">
        <v>0</v>
      </c>
    </row>
    <row r="4" spans="2:12" x14ac:dyDescent="0.35">
      <c r="B4" s="2" t="s">
        <v>1</v>
      </c>
      <c r="C4" s="6">
        <v>107</v>
      </c>
      <c r="E4" s="2" t="s">
        <v>8</v>
      </c>
      <c r="F4" s="6">
        <v>137023.18</v>
      </c>
      <c r="H4" s="4">
        <v>330547.73</v>
      </c>
      <c r="I4" s="5">
        <v>0.59812136668857108</v>
      </c>
      <c r="J4" s="4">
        <v>222095.51</v>
      </c>
      <c r="K4" s="4">
        <v>114869.38</v>
      </c>
      <c r="L4" s="4">
        <v>552643.24</v>
      </c>
    </row>
    <row r="5" spans="2:12" x14ac:dyDescent="0.35">
      <c r="B5" s="2" t="s">
        <v>2</v>
      </c>
      <c r="C5" s="6">
        <v>89</v>
      </c>
      <c r="E5" s="2" t="s">
        <v>9</v>
      </c>
      <c r="F5" s="6">
        <v>113622.95</v>
      </c>
      <c r="J5" s="3"/>
    </row>
    <row r="6" spans="2:12" x14ac:dyDescent="0.35">
      <c r="B6" s="2" t="s">
        <v>3</v>
      </c>
      <c r="C6" s="6">
        <v>117</v>
      </c>
      <c r="E6" s="2" t="s">
        <v>10</v>
      </c>
      <c r="F6" s="6">
        <v>100083.35</v>
      </c>
      <c r="H6" s="1" t="s">
        <v>27</v>
      </c>
      <c r="I6" t="s">
        <v>26</v>
      </c>
    </row>
    <row r="7" spans="2:12" x14ac:dyDescent="0.35">
      <c r="B7" s="2" t="s">
        <v>4</v>
      </c>
      <c r="C7" s="6">
        <v>102</v>
      </c>
      <c r="E7" s="2" t="s">
        <v>11</v>
      </c>
      <c r="F7" s="6">
        <v>106055</v>
      </c>
      <c r="H7" s="2" t="s">
        <v>8</v>
      </c>
      <c r="I7">
        <v>0.43089430894308944</v>
      </c>
    </row>
    <row r="8" spans="2:12" x14ac:dyDescent="0.35">
      <c r="B8" s="2" t="s">
        <v>5</v>
      </c>
      <c r="C8" s="6">
        <v>95</v>
      </c>
      <c r="E8" s="2" t="s">
        <v>12</v>
      </c>
      <c r="F8" s="6">
        <v>95858.76</v>
      </c>
      <c r="H8" s="2" t="s">
        <v>9</v>
      </c>
      <c r="I8">
        <v>0.44017094017094016</v>
      </c>
    </row>
    <row r="9" spans="2:12" x14ac:dyDescent="0.35">
      <c r="B9" s="2" t="s">
        <v>6</v>
      </c>
      <c r="C9" s="6">
        <v>510</v>
      </c>
      <c r="E9" s="2" t="s">
        <v>6</v>
      </c>
      <c r="F9" s="6">
        <v>552643.24</v>
      </c>
      <c r="H9" s="2" t="s">
        <v>10</v>
      </c>
      <c r="I9">
        <v>0.40948275862068967</v>
      </c>
    </row>
    <row r="10" spans="2:12" x14ac:dyDescent="0.35">
      <c r="H10" s="2" t="s">
        <v>11</v>
      </c>
      <c r="I10">
        <v>0.44347826086956521</v>
      </c>
    </row>
    <row r="11" spans="2:12" x14ac:dyDescent="0.35">
      <c r="H11" s="2" t="s">
        <v>12</v>
      </c>
      <c r="I11">
        <v>0.35271317829457366</v>
      </c>
    </row>
    <row r="12" spans="2:12" x14ac:dyDescent="0.35">
      <c r="H12" s="2" t="s">
        <v>6</v>
      </c>
      <c r="I12">
        <v>0.41416666666666668</v>
      </c>
    </row>
    <row r="13" spans="2:12" x14ac:dyDescent="0.35">
      <c r="B13" s="1" t="s">
        <v>25</v>
      </c>
      <c r="C13" t="s">
        <v>13</v>
      </c>
      <c r="E13" s="1" t="s">
        <v>28</v>
      </c>
      <c r="F13" t="s">
        <v>13</v>
      </c>
    </row>
    <row r="14" spans="2:12" x14ac:dyDescent="0.35">
      <c r="B14" s="2">
        <v>1</v>
      </c>
      <c r="C14" s="6">
        <v>56685.75</v>
      </c>
      <c r="E14" s="2" t="s">
        <v>14</v>
      </c>
      <c r="F14" s="6">
        <v>87585.58</v>
      </c>
    </row>
    <row r="15" spans="2:12" x14ac:dyDescent="0.35">
      <c r="B15" s="2">
        <v>2</v>
      </c>
      <c r="C15" s="6">
        <v>40117.660000000003</v>
      </c>
      <c r="E15" s="2" t="s">
        <v>15</v>
      </c>
      <c r="F15" s="6">
        <v>60990.53</v>
      </c>
      <c r="H15" t="s">
        <v>33</v>
      </c>
      <c r="I15" t="s">
        <v>32</v>
      </c>
      <c r="J15" t="s">
        <v>30</v>
      </c>
      <c r="K15" t="s">
        <v>26</v>
      </c>
      <c r="L15" t="s">
        <v>31</v>
      </c>
    </row>
    <row r="16" spans="2:12" x14ac:dyDescent="0.35">
      <c r="B16" s="2">
        <v>3</v>
      </c>
      <c r="C16" s="6">
        <v>48609.37</v>
      </c>
      <c r="E16" s="2" t="s">
        <v>16</v>
      </c>
      <c r="F16" s="6">
        <v>83231.66</v>
      </c>
      <c r="H16">
        <v>6582</v>
      </c>
      <c r="I16">
        <v>3535</v>
      </c>
      <c r="J16">
        <v>1200</v>
      </c>
      <c r="K16" s="5">
        <v>0.41416666666666668</v>
      </c>
      <c r="L16">
        <v>497</v>
      </c>
    </row>
    <row r="17" spans="2:6" x14ac:dyDescent="0.35">
      <c r="B17" s="2">
        <v>4</v>
      </c>
      <c r="C17" s="6">
        <v>27751.71</v>
      </c>
      <c r="E17" s="2" t="s">
        <v>17</v>
      </c>
      <c r="F17" s="6">
        <v>75876.42</v>
      </c>
    </row>
    <row r="18" spans="2:6" x14ac:dyDescent="0.35">
      <c r="B18" s="2">
        <v>5</v>
      </c>
      <c r="C18" s="6">
        <v>63836.84</v>
      </c>
      <c r="E18" s="2" t="s">
        <v>18</v>
      </c>
      <c r="F18" s="6">
        <v>62766.400000000001</v>
      </c>
    </row>
    <row r="19" spans="2:6" x14ac:dyDescent="0.35">
      <c r="B19" s="2">
        <v>6</v>
      </c>
      <c r="C19" s="6">
        <v>49500.19</v>
      </c>
      <c r="E19" s="2" t="s">
        <v>19</v>
      </c>
      <c r="F19" s="6">
        <v>95513.73</v>
      </c>
    </row>
    <row r="20" spans="2:6" x14ac:dyDescent="0.35">
      <c r="B20" s="2">
        <v>7</v>
      </c>
      <c r="C20" s="6">
        <v>42820.66</v>
      </c>
      <c r="E20" s="2" t="s">
        <v>20</v>
      </c>
      <c r="F20" s="6">
        <v>86678.92</v>
      </c>
    </row>
    <row r="21" spans="2:6" x14ac:dyDescent="0.35">
      <c r="B21" s="2">
        <v>8</v>
      </c>
      <c r="C21" s="6">
        <v>54352.14</v>
      </c>
      <c r="E21" s="2" t="s">
        <v>6</v>
      </c>
      <c r="F21" s="6">
        <v>552643.24</v>
      </c>
    </row>
    <row r="22" spans="2:6" x14ac:dyDescent="0.35">
      <c r="B22" s="2">
        <v>9</v>
      </c>
      <c r="C22" s="6">
        <v>29526.67</v>
      </c>
    </row>
    <row r="23" spans="2:6" x14ac:dyDescent="0.35">
      <c r="B23" s="2">
        <v>10</v>
      </c>
      <c r="C23" s="6">
        <v>52607.85</v>
      </c>
    </row>
    <row r="24" spans="2:6" x14ac:dyDescent="0.35">
      <c r="B24" s="2">
        <v>11</v>
      </c>
      <c r="C24" s="6">
        <v>43079.67</v>
      </c>
    </row>
    <row r="25" spans="2:6" x14ac:dyDescent="0.35">
      <c r="B25" s="2">
        <v>12</v>
      </c>
      <c r="C25" s="6">
        <v>43754.73</v>
      </c>
    </row>
    <row r="26" spans="2:6" x14ac:dyDescent="0.35">
      <c r="B26" s="2" t="s">
        <v>6</v>
      </c>
      <c r="C26" s="6">
        <v>552643.24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019A9072-C153-4E8D-A8A1-55496AE161CD}">
  <ds:schemaRefs/>
</ds:datastoreItem>
</file>

<file path=customXml/itemProps2.xml><?xml version="1.0" encoding="utf-8"?>
<ds:datastoreItem xmlns:ds="http://schemas.openxmlformats.org/officeDocument/2006/customXml" ds:itemID="{A3A637B1-AFC2-4D2E-A6AA-BE62FBC4BE78}">
  <ds:schemaRefs/>
</ds:datastoreItem>
</file>

<file path=customXml/itemProps3.xml><?xml version="1.0" encoding="utf-8"?>
<ds:datastoreItem xmlns:ds="http://schemas.openxmlformats.org/officeDocument/2006/customXml" ds:itemID="{52CED387-12F4-4021-AF42-B921FBE65AA7}">
  <ds:schemaRefs/>
</ds:datastoreItem>
</file>

<file path=customXml/itemProps4.xml><?xml version="1.0" encoding="utf-8"?>
<ds:datastoreItem xmlns:ds="http://schemas.openxmlformats.org/officeDocument/2006/customXml" ds:itemID="{473F1E0B-B16C-4C73-88EF-5AA41145C659}">
  <ds:schemaRefs/>
</ds:datastoreItem>
</file>

<file path=customXml/itemProps5.xml><?xml version="1.0" encoding="utf-8"?>
<ds:datastoreItem xmlns:ds="http://schemas.openxmlformats.org/officeDocument/2006/customXml" ds:itemID="{B522265E-1581-4398-907D-3F539FD9132C}">
  <ds:schemaRefs/>
</ds:datastoreItem>
</file>

<file path=customXml/itemProps6.xml><?xml version="1.0" encoding="utf-8"?>
<ds:datastoreItem xmlns:ds="http://schemas.openxmlformats.org/officeDocument/2006/customXml" ds:itemID="{AFA736E0-7560-42B0-9992-4CA450FA6B0D}">
  <ds:schemaRefs/>
</ds:datastoreItem>
</file>

<file path=customXml/itemProps7.xml><?xml version="1.0" encoding="utf-8"?>
<ds:datastoreItem xmlns:ds="http://schemas.openxmlformats.org/officeDocument/2006/customXml" ds:itemID="{3C6679E8-7388-4544-8CFC-4373D8C324BD}">
  <ds:schemaRefs/>
</ds:datastoreItem>
</file>

<file path=customXml/itemProps8.xml><?xml version="1.0" encoding="utf-8"?>
<ds:datastoreItem xmlns:ds="http://schemas.openxmlformats.org/officeDocument/2006/customXml" ds:itemID="{880EA4A0-9223-4445-92D9-C1BC008C6F5E}">
  <ds:schemaRefs/>
</ds:datastoreItem>
</file>

<file path=customXml/itemProps9.xml><?xml version="1.0" encoding="utf-8"?>
<ds:datastoreItem xmlns:ds="http://schemas.openxmlformats.org/officeDocument/2006/customXml" ds:itemID="{218FA88E-91B8-46DA-9EB1-932369301EF3}">
  <ds:schemaRefs/>
</ds:datastoreItem>
</file>

<file path=customXml/itemProps10.xml><?xml version="1.0" encoding="utf-8"?>
<ds:datastoreItem xmlns:ds="http://schemas.openxmlformats.org/officeDocument/2006/customXml" ds:itemID="{C0CEC1BB-3A69-4B34-8924-1E861DFD09EA}">
  <ds:schemaRefs/>
</ds:datastoreItem>
</file>

<file path=customXml/itemProps11.xml><?xml version="1.0" encoding="utf-8"?>
<ds:datastoreItem xmlns:ds="http://schemas.openxmlformats.org/officeDocument/2006/customXml" ds:itemID="{EF545313-1F69-4D16-B801-C5181F864AA2}">
  <ds:schemaRefs/>
</ds:datastoreItem>
</file>

<file path=customXml/itemProps12.xml><?xml version="1.0" encoding="utf-8"?>
<ds:datastoreItem xmlns:ds="http://schemas.openxmlformats.org/officeDocument/2006/customXml" ds:itemID="{AF9864FD-A0A7-46CD-8A55-9B2C32A6A6E2}">
  <ds:schemaRefs/>
</ds:datastoreItem>
</file>

<file path=customXml/itemProps13.xml><?xml version="1.0" encoding="utf-8"?>
<ds:datastoreItem xmlns:ds="http://schemas.openxmlformats.org/officeDocument/2006/customXml" ds:itemID="{C4CBF565-23D2-48F6-AEB7-39D96D36318A}">
  <ds:schemaRefs/>
</ds:datastoreItem>
</file>

<file path=customXml/itemProps14.xml><?xml version="1.0" encoding="utf-8"?>
<ds:datastoreItem xmlns:ds="http://schemas.openxmlformats.org/officeDocument/2006/customXml" ds:itemID="{E2A667E0-CBE2-4901-9BA4-8C8F2559E2A4}">
  <ds:schemaRefs/>
</ds:datastoreItem>
</file>

<file path=customXml/itemProps15.xml><?xml version="1.0" encoding="utf-8"?>
<ds:datastoreItem xmlns:ds="http://schemas.openxmlformats.org/officeDocument/2006/customXml" ds:itemID="{B25D5B34-1000-4572-A9C9-C1A3AA55026C}">
  <ds:schemaRefs/>
</ds:datastoreItem>
</file>

<file path=customXml/itemProps16.xml><?xml version="1.0" encoding="utf-8"?>
<ds:datastoreItem xmlns:ds="http://schemas.openxmlformats.org/officeDocument/2006/customXml" ds:itemID="{58B46A8A-5046-4007-826B-F63C05EE4904}">
  <ds:schemaRefs/>
</ds:datastoreItem>
</file>

<file path=customXml/itemProps17.xml><?xml version="1.0" encoding="utf-8"?>
<ds:datastoreItem xmlns:ds="http://schemas.openxmlformats.org/officeDocument/2006/customXml" ds:itemID="{0EAAA2CE-444A-4048-8629-69F9E6B2162F}">
  <ds:schemaRefs/>
</ds:datastoreItem>
</file>

<file path=customXml/itemProps18.xml><?xml version="1.0" encoding="utf-8"?>
<ds:datastoreItem xmlns:ds="http://schemas.openxmlformats.org/officeDocument/2006/customXml" ds:itemID="{FC65C317-7489-411F-9FF4-9BC51DAF8B5E}">
  <ds:schemaRefs/>
</ds:datastoreItem>
</file>

<file path=customXml/itemProps19.xml><?xml version="1.0" encoding="utf-8"?>
<ds:datastoreItem xmlns:ds="http://schemas.openxmlformats.org/officeDocument/2006/customXml" ds:itemID="{3AD43D1F-AA39-47DE-94CD-48299EB4DD38}">
  <ds:schemaRefs>
    <ds:schemaRef ds:uri="http://schemas.microsoft.com/DataMashup"/>
  </ds:schemaRefs>
</ds:datastoreItem>
</file>

<file path=customXml/itemProps20.xml><?xml version="1.0" encoding="utf-8"?>
<ds:datastoreItem xmlns:ds="http://schemas.openxmlformats.org/officeDocument/2006/customXml" ds:itemID="{28AC2E7D-9AC9-4C34-9E2D-725263E2E53C}">
  <ds:schemaRefs/>
</ds:datastoreItem>
</file>

<file path=customXml/itemProps21.xml><?xml version="1.0" encoding="utf-8"?>
<ds:datastoreItem xmlns:ds="http://schemas.openxmlformats.org/officeDocument/2006/customXml" ds:itemID="{176A0858-B0BD-44D4-80C7-7B7E6DA2531B}">
  <ds:schemaRefs/>
</ds:datastoreItem>
</file>

<file path=customXml/itemProps22.xml><?xml version="1.0" encoding="utf-8"?>
<ds:datastoreItem xmlns:ds="http://schemas.openxmlformats.org/officeDocument/2006/customXml" ds:itemID="{CE28C808-AF96-4BAE-9523-D8B0729E6969}">
  <ds:schemaRefs/>
</ds:datastoreItem>
</file>

<file path=customXml/itemProps23.xml><?xml version="1.0" encoding="utf-8"?>
<ds:datastoreItem xmlns:ds="http://schemas.openxmlformats.org/officeDocument/2006/customXml" ds:itemID="{8AC4846E-EC72-4A99-9FC7-E50575A7EBAA}">
  <ds:schemaRefs/>
</ds:datastoreItem>
</file>

<file path=customXml/itemProps24.xml><?xml version="1.0" encoding="utf-8"?>
<ds:datastoreItem xmlns:ds="http://schemas.openxmlformats.org/officeDocument/2006/customXml" ds:itemID="{28B36930-A8B2-4A04-B57D-F2B0A9CB99D8}">
  <ds:schemaRefs/>
</ds:datastoreItem>
</file>

<file path=customXml/itemProps25.xml><?xml version="1.0" encoding="utf-8"?>
<ds:datastoreItem xmlns:ds="http://schemas.openxmlformats.org/officeDocument/2006/customXml" ds:itemID="{DB65AC48-6CBD-4708-A485-48884927107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10</vt:i4>
      </vt:variant>
    </vt:vector>
  </HeadingPairs>
  <TitlesOfParts>
    <vt:vector size="13" baseType="lpstr">
      <vt:lpstr>OVERVIEW</vt:lpstr>
      <vt:lpstr>KPI's</vt:lpstr>
      <vt:lpstr>CALC</vt:lpstr>
      <vt:lpstr>GrossRevenue</vt:lpstr>
      <vt:lpstr>LossRate</vt:lpstr>
      <vt:lpstr>NetRevenue</vt:lpstr>
      <vt:lpstr>NetRevenuePercent</vt:lpstr>
      <vt:lpstr>RevenueLost</vt:lpstr>
      <vt:lpstr>RevenuePending</vt:lpstr>
      <vt:lpstr>ToatalLostOrders</vt:lpstr>
      <vt:lpstr>TotalItemsCheckedOut</vt:lpstr>
      <vt:lpstr>TotalItemsInCart</vt:lpstr>
      <vt:lpstr>TotalOders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 USER</dc:creator>
  <cp:lastModifiedBy>NEW USER</cp:lastModifiedBy>
  <dcterms:created xsi:type="dcterms:W3CDTF">2026-09-22T22:39:58Z</dcterms:created>
  <dcterms:modified xsi:type="dcterms:W3CDTF">2026-09-23T22:03:37Z</dcterms:modified>
</cp:coreProperties>
</file>